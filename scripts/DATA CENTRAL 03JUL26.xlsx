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Diaz\Downloads\Telegram Desktop\"/>
    </mc:Choice>
  </mc:AlternateContent>
  <xr:revisionPtr revIDLastSave="0" documentId="13_ncr:1_{A9A9B72E-232B-44C6-977D-04A967D75588}" xr6:coauthVersionLast="47" xr6:coauthVersionMax="47" xr10:uidLastSave="{00000000-0000-0000-0000-000000000000}"/>
  <bookViews>
    <workbookView xWindow="38565" yWindow="1680" windowWidth="36030" windowHeight="15645" tabRatio="911" firstSheet="4" activeTab="16" xr2:uid="{8B952272-6ACA-4557-92D6-34497A774D1F}"/>
  </bookViews>
  <sheets>
    <sheet name="TOTALES FINALES" sheetId="2" r:id="rId1"/>
    <sheet name="CM FEREICO GUZMAN" sheetId="5" r:id="rId2"/>
    <sheet name="CM CARLOS GAMBOA" sheetId="6" r:id="rId3"/>
    <sheet name="CM RAFAEL AGUANA" sheetId="7" r:id="rId4"/>
    <sheet name="CM YOHANA CARDOZO" sheetId="4" r:id="rId5"/>
    <sheet name="CG JOSE ROZO" sheetId="8" r:id="rId6"/>
    <sheet name="CG CARLOS CONTRERAS" sheetId="9" r:id="rId7"/>
    <sheet name="CG JOSE MARTINEZ" sheetId="10" r:id="rId8"/>
    <sheet name="CG RONNY GALDONAS" sheetId="12" r:id="rId9"/>
    <sheet name="CG RAMON YEPEZ" sheetId="13" r:id="rId10"/>
    <sheet name="CG LUIS GONZALEZ" sheetId="15" r:id="rId11"/>
    <sheet name="CG RICHARD BRITO" sheetId="16" r:id="rId12"/>
    <sheet name="CG JUMMY BETANCOURT" sheetId="17" r:id="rId13"/>
    <sheet name="CG PEREZ LOPEZ" sheetId="18" r:id="rId14"/>
    <sheet name="CG CARLOS ORTEGA" sheetId="19" r:id="rId15"/>
    <sheet name="CJ GODOY" sheetId="20" r:id="rId16"/>
    <sheet name="CG NOVO " sheetId="2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2" l="1"/>
  <c r="V4" i="17"/>
  <c r="P4" i="8"/>
  <c r="J4" i="8"/>
  <c r="D4" i="8"/>
  <c r="AB4" i="18" l="1"/>
  <c r="V4" i="18"/>
  <c r="P4" i="18"/>
  <c r="J4" i="18"/>
  <c r="D4" i="18"/>
  <c r="V4" i="12" l="1"/>
  <c r="P4" i="12"/>
  <c r="J4" i="12"/>
  <c r="D4" i="12"/>
  <c r="F42" i="2" l="1"/>
  <c r="AJ4" i="7" l="1"/>
  <c r="P4" i="7"/>
  <c r="J4" i="7"/>
  <c r="D4" i="7"/>
  <c r="D4" i="6" l="1"/>
  <c r="V4" i="9"/>
  <c r="P4" i="9"/>
  <c r="J4" i="9"/>
  <c r="D4" i="9"/>
  <c r="J4" i="16"/>
  <c r="D4" i="16"/>
  <c r="J4" i="15" l="1"/>
  <c r="D4" i="15"/>
  <c r="P4" i="19"/>
  <c r="J4" i="19"/>
  <c r="D4" i="19"/>
  <c r="P4" i="21" l="1"/>
  <c r="J4" i="21"/>
  <c r="D4" i="21"/>
  <c r="V4" i="10"/>
  <c r="P4" i="10"/>
  <c r="J4" i="10"/>
  <c r="D4" i="10"/>
  <c r="AJ4" i="13" l="1"/>
  <c r="G82" i="2"/>
  <c r="V4" i="4"/>
  <c r="P4" i="4"/>
  <c r="J4" i="4"/>
  <c r="D4" i="4"/>
  <c r="AJ7" i="20" l="1"/>
  <c r="AJ6" i="20"/>
  <c r="AJ5" i="20"/>
  <c r="AJ4" i="20"/>
  <c r="AJ15" i="5"/>
  <c r="AJ14" i="5"/>
  <c r="AJ13" i="5"/>
  <c r="AJ12" i="5"/>
  <c r="AJ11" i="5"/>
  <c r="AJ10" i="5"/>
  <c r="AJ9" i="5"/>
  <c r="AJ8" i="5"/>
  <c r="AJ7" i="5"/>
  <c r="AJ6" i="5"/>
  <c r="AJ5" i="5"/>
  <c r="AJ4" i="5"/>
  <c r="D4" i="5"/>
  <c r="G38" i="2"/>
  <c r="G37" i="2" l="1"/>
  <c r="G5" i="2" s="1"/>
  <c r="G39" i="2"/>
  <c r="G7" i="2" s="1"/>
  <c r="D108" i="2" l="1"/>
  <c r="D16" i="2" s="1"/>
  <c r="D107" i="2"/>
  <c r="D15" i="2" s="1"/>
  <c r="D106" i="2"/>
  <c r="D14" i="2" s="1"/>
  <c r="D105" i="2"/>
  <c r="D13" i="2" s="1"/>
  <c r="D104" i="2"/>
  <c r="D12" i="2" s="1"/>
  <c r="D103" i="2"/>
  <c r="D11" i="2" s="1"/>
  <c r="D102" i="2"/>
  <c r="D10" i="2" s="1"/>
  <c r="D101" i="2"/>
  <c r="D9" i="2" s="1"/>
  <c r="D100" i="2"/>
  <c r="D8" i="2" s="1"/>
  <c r="D99" i="2"/>
  <c r="D7" i="2" s="1"/>
  <c r="G98" i="2"/>
  <c r="G6" i="2" s="1"/>
  <c r="D98" i="2"/>
  <c r="D6" i="2" s="1"/>
  <c r="D97" i="2"/>
  <c r="D5" i="2" s="1"/>
  <c r="AI19" i="21"/>
  <c r="AI15" i="21"/>
  <c r="AI14" i="21"/>
  <c r="AI13" i="21"/>
  <c r="AI12" i="21"/>
  <c r="AI11" i="21"/>
  <c r="AI10" i="21"/>
  <c r="AI9" i="21"/>
  <c r="AI8" i="21"/>
  <c r="AI7" i="21"/>
  <c r="AI6" i="21"/>
  <c r="AI5" i="21"/>
  <c r="AB4" i="21"/>
  <c r="V4" i="21"/>
  <c r="AI4" i="21"/>
  <c r="AJ19" i="20"/>
  <c r="AJ15" i="20"/>
  <c r="AJ14" i="20"/>
  <c r="AJ13" i="20"/>
  <c r="AJ12" i="20"/>
  <c r="AJ11" i="20"/>
  <c r="AJ10" i="20"/>
  <c r="AJ9" i="20"/>
  <c r="AJ8" i="20"/>
  <c r="AB4" i="20"/>
  <c r="V4" i="20"/>
  <c r="AJ19" i="19"/>
  <c r="AJ15" i="19"/>
  <c r="AJ14" i="19"/>
  <c r="AJ13" i="19"/>
  <c r="AJ12" i="19"/>
  <c r="AJ11" i="19"/>
  <c r="AJ10" i="19"/>
  <c r="AJ9" i="19"/>
  <c r="AJ8" i="19"/>
  <c r="AJ7" i="19"/>
  <c r="AJ6" i="19"/>
  <c r="AJ5" i="19"/>
  <c r="AB4" i="19"/>
  <c r="V4" i="19"/>
  <c r="AJ4" i="19"/>
  <c r="AJ19" i="18"/>
  <c r="AJ15" i="18"/>
  <c r="AJ14" i="18"/>
  <c r="AJ13" i="18"/>
  <c r="AJ12" i="18"/>
  <c r="AJ11" i="18"/>
  <c r="AJ10" i="18"/>
  <c r="AJ9" i="18"/>
  <c r="AJ8" i="18"/>
  <c r="AJ7" i="18"/>
  <c r="AJ6" i="18"/>
  <c r="AJ5" i="18"/>
  <c r="AJ4" i="18"/>
  <c r="AI15" i="17"/>
  <c r="AI14" i="17"/>
  <c r="AI13" i="17"/>
  <c r="AI12" i="17"/>
  <c r="AI11" i="17"/>
  <c r="AI10" i="17"/>
  <c r="AI9" i="17"/>
  <c r="AI8" i="17"/>
  <c r="AI7" i="17"/>
  <c r="AI6" i="17"/>
  <c r="AI5" i="17"/>
  <c r="AB4" i="17"/>
  <c r="AI4" i="17"/>
  <c r="AI19" i="16"/>
  <c r="AI15" i="16"/>
  <c r="AI14" i="16"/>
  <c r="AI13" i="16"/>
  <c r="AI12" i="16"/>
  <c r="AI11" i="16"/>
  <c r="AI10" i="16"/>
  <c r="AI9" i="16"/>
  <c r="AI8" i="16"/>
  <c r="AI7" i="16"/>
  <c r="AI6" i="16"/>
  <c r="AI5" i="16"/>
  <c r="AB4" i="16"/>
  <c r="V4" i="16"/>
  <c r="P4" i="16"/>
  <c r="AI19" i="15"/>
  <c r="AI15" i="15"/>
  <c r="AI14" i="15"/>
  <c r="AI13" i="15"/>
  <c r="AI12" i="15"/>
  <c r="AI11" i="15"/>
  <c r="AI10" i="15"/>
  <c r="AI9" i="15"/>
  <c r="AI8" i="15"/>
  <c r="AI7" i="15"/>
  <c r="AI6" i="15"/>
  <c r="AI5" i="15"/>
  <c r="AB4" i="15"/>
  <c r="V4" i="15"/>
  <c r="AI4" i="15"/>
  <c r="AJ19" i="13"/>
  <c r="AJ15" i="13"/>
  <c r="AJ14" i="13"/>
  <c r="AJ13" i="13"/>
  <c r="AJ12" i="13"/>
  <c r="AJ11" i="13"/>
  <c r="AJ10" i="13"/>
  <c r="AJ9" i="13"/>
  <c r="AJ8" i="13"/>
  <c r="AJ7" i="13"/>
  <c r="AJ6" i="13"/>
  <c r="AJ5" i="13"/>
  <c r="AB4" i="13"/>
  <c r="AJ19" i="12"/>
  <c r="AJ19" i="10"/>
  <c r="AJ15" i="10"/>
  <c r="AJ14" i="10"/>
  <c r="AJ13" i="10"/>
  <c r="AJ12" i="10"/>
  <c r="AJ11" i="10"/>
  <c r="AJ10" i="10"/>
  <c r="AJ9" i="10"/>
  <c r="AJ8" i="10"/>
  <c r="AJ7" i="10"/>
  <c r="AJ6" i="10"/>
  <c r="AJ5" i="10"/>
  <c r="AB4" i="10"/>
  <c r="AJ4" i="10"/>
  <c r="AJ19" i="9"/>
  <c r="AJ15" i="9"/>
  <c r="AJ14" i="9"/>
  <c r="AJ13" i="9"/>
  <c r="AJ12" i="9"/>
  <c r="AJ11" i="9"/>
  <c r="AJ10" i="9"/>
  <c r="AJ9" i="9"/>
  <c r="AJ8" i="9"/>
  <c r="AJ7" i="9"/>
  <c r="AJ6" i="9"/>
  <c r="AJ5" i="9"/>
  <c r="AB4" i="9"/>
  <c r="AJ4" i="9"/>
  <c r="AJ19" i="8"/>
  <c r="AJ15" i="8"/>
  <c r="AJ14" i="8"/>
  <c r="AJ13" i="8"/>
  <c r="AJ12" i="8"/>
  <c r="AJ11" i="8"/>
  <c r="AJ10" i="8"/>
  <c r="AJ9" i="8"/>
  <c r="AJ8" i="8"/>
  <c r="AJ7" i="8"/>
  <c r="AJ6" i="8"/>
  <c r="AJ5" i="8"/>
  <c r="AB4" i="8"/>
  <c r="V4" i="8"/>
  <c r="AJ4" i="8"/>
  <c r="AJ19" i="7"/>
  <c r="AB4" i="7"/>
  <c r="V4" i="7"/>
  <c r="AJ19" i="6"/>
  <c r="AJ19" i="5"/>
  <c r="AJ19" i="4"/>
  <c r="AJ15" i="6"/>
  <c r="AJ14" i="6"/>
  <c r="AJ13" i="6"/>
  <c r="AJ12" i="6"/>
  <c r="AJ11" i="6"/>
  <c r="AJ10" i="6"/>
  <c r="AJ9" i="6"/>
  <c r="AJ8" i="6"/>
  <c r="AJ7" i="6"/>
  <c r="AJ6" i="6"/>
  <c r="AJ5" i="6"/>
  <c r="AJ4" i="6"/>
  <c r="AB4" i="6"/>
  <c r="V4" i="6"/>
  <c r="P4" i="6"/>
  <c r="J4" i="6"/>
  <c r="AB4" i="5"/>
  <c r="V4" i="5"/>
  <c r="P4" i="5"/>
  <c r="AB4" i="4"/>
  <c r="AJ15" i="4"/>
  <c r="AJ14" i="4"/>
  <c r="AJ13" i="4"/>
  <c r="AJ12" i="4"/>
  <c r="AJ11" i="4"/>
  <c r="AJ10" i="4"/>
  <c r="AJ9" i="4"/>
  <c r="AJ8" i="4"/>
  <c r="AJ7" i="4"/>
  <c r="AJ6" i="4"/>
  <c r="AJ5" i="4"/>
  <c r="AJ4" i="4"/>
  <c r="F9" i="2" l="1"/>
  <c r="F11" i="2" s="1"/>
  <c r="AI4" i="16"/>
</calcChain>
</file>

<file path=xl/sharedStrings.xml><?xml version="1.0" encoding="utf-8"?>
<sst xmlns="http://schemas.openxmlformats.org/spreadsheetml/2006/main" count="5368" uniqueCount="585">
  <si>
    <t>NRO. FAMILIAS</t>
  </si>
  <si>
    <t>TOTAL PERSONAS</t>
  </si>
  <si>
    <t>HOMBRES</t>
  </si>
  <si>
    <t>MUJERES</t>
  </si>
  <si>
    <t>NIÑOS</t>
  </si>
  <si>
    <t>NIÑAS</t>
  </si>
  <si>
    <t>ADULTOS MAYORES</t>
  </si>
  <si>
    <t xml:space="preserve">ADULTAS MAYORES </t>
  </si>
  <si>
    <t>XX</t>
  </si>
  <si>
    <t xml:space="preserve">PRESENTACION </t>
  </si>
  <si>
    <t>ESTADO</t>
  </si>
  <si>
    <t>MUNICIPIO</t>
  </si>
  <si>
    <t xml:space="preserve">PARROQUIA </t>
  </si>
  <si>
    <t xml:space="preserve">COORDENADAS </t>
  </si>
  <si>
    <t>COORDINADOR POLÍTICO</t>
  </si>
  <si>
    <t>CEDULA</t>
  </si>
  <si>
    <t>TÉLEFONO</t>
  </si>
  <si>
    <t xml:space="preserve">ENTE A CARGO </t>
  </si>
  <si>
    <t>JEFE DE SEGURIDAD</t>
  </si>
  <si>
    <t>ORGANISMO DE SEGURIDAD</t>
  </si>
  <si>
    <t xml:space="preserve">PERSONAL A SU MANDO </t>
  </si>
  <si>
    <t xml:space="preserve">VEHICULOS </t>
  </si>
  <si>
    <t>SI/NO</t>
  </si>
  <si>
    <t>MEDICOS EN EL CENTRO</t>
  </si>
  <si>
    <t>AMBULANCIAS</t>
  </si>
  <si>
    <t>PSICOLOGO</t>
  </si>
  <si>
    <t>CONTACTO JUEZ DE PAZ</t>
  </si>
  <si>
    <t>NOVEDADES RELEVANTES</t>
  </si>
  <si>
    <t>I</t>
  </si>
  <si>
    <t>II</t>
  </si>
  <si>
    <t>III</t>
  </si>
  <si>
    <t>VI</t>
  </si>
  <si>
    <t>IV</t>
  </si>
  <si>
    <t xml:space="preserve">FOTO DEL CENTRO </t>
  </si>
  <si>
    <t xml:space="preserve">DTTO. CAPITAL </t>
  </si>
  <si>
    <t xml:space="preserve">LIBERTADOR </t>
  </si>
  <si>
    <t>XXXX</t>
  </si>
  <si>
    <t>XXXXX XXXXXX</t>
  </si>
  <si>
    <t>XX.XXX.XXX</t>
  </si>
  <si>
    <t>XXXX-XXXXXXX</t>
  </si>
  <si>
    <t>XXXXXXXX</t>
  </si>
  <si>
    <t xml:space="preserve">XXXXXXX XXXXX </t>
  </si>
  <si>
    <t>XXXXXX</t>
  </si>
  <si>
    <t xml:space="preserve">Describir novedad </t>
  </si>
  <si>
    <t>ANALISTA SAE</t>
  </si>
  <si>
    <t>SUPERVISOR SEBIN</t>
  </si>
  <si>
    <t>C/G XXXXX</t>
  </si>
  <si>
    <t>PROF. XXXX</t>
  </si>
  <si>
    <t>CENTRO: XXXXXXXX XXXXXXXXXX XXXXXXXX</t>
  </si>
  <si>
    <t>PER. CON DISCAPACIDAD</t>
  </si>
  <si>
    <t>EMBARAZADAS</t>
  </si>
  <si>
    <t>CASOS DE SALUD</t>
  </si>
  <si>
    <t xml:space="preserve">MASCOTAS </t>
  </si>
  <si>
    <t>TOTALES</t>
  </si>
  <si>
    <t>TOTALES CENTROS</t>
  </si>
  <si>
    <t>OPERATIVOS</t>
  </si>
  <si>
    <t xml:space="preserve">EN ESPERA DE PERSONAS </t>
  </si>
  <si>
    <t xml:space="preserve">TOTALES CENTROS </t>
  </si>
  <si>
    <t xml:space="preserve">TOTALES GENERALES </t>
  </si>
  <si>
    <t>CENTRO: UEN PABLO VILA</t>
  </si>
  <si>
    <t>EL PARAISO</t>
  </si>
  <si>
    <t>10.489243/66.919248</t>
  </si>
  <si>
    <t>DRA. MARÍA QUINTERO</t>
  </si>
  <si>
    <t>424-1842634</t>
  </si>
  <si>
    <t>MINISTERIO DEL PODER POPULAR DE LA CIENCIA Y LA TECNÓLOGIA</t>
  </si>
  <si>
    <t>EL CENTRO NO SE ENCUENTRA APTO, DEBIDO A CONDICIONES DE INFRAESTRUCTURA</t>
  </si>
  <si>
    <t>ENTE ASIGNADO REALIZÓ EVALUACIÓN DE LAS INSTALACIONES</t>
  </si>
  <si>
    <t>MARIANA</t>
  </si>
  <si>
    <t xml:space="preserve">CENTRO: ETI LEONARDO INFANTE </t>
  </si>
  <si>
    <t>CENTRO: UEN MARIANO PICON SALAS</t>
  </si>
  <si>
    <t xml:space="preserve">MIRANDA </t>
  </si>
  <si>
    <t xml:space="preserve">SUCRE </t>
  </si>
  <si>
    <t>PETARE</t>
  </si>
  <si>
    <t>MIRANDA</t>
  </si>
  <si>
    <t>JOSE  PERDOMO</t>
  </si>
  <si>
    <t>JHONATAHAN SAYAGO</t>
  </si>
  <si>
    <t>0412-9851839</t>
  </si>
  <si>
    <t>0414-2310314</t>
  </si>
  <si>
    <t xml:space="preserve">MINISTERIO DE DESARROLLO MINERO E INDUSTRIAS BASICAS </t>
  </si>
  <si>
    <t>ALCALDIA MUNICIPIO SUCRE</t>
  </si>
  <si>
    <t xml:space="preserve">C/G JESUS VILORIA </t>
  </si>
  <si>
    <t>P/C HENRY NAVEDA</t>
  </si>
  <si>
    <t>0426-520-8455</t>
  </si>
  <si>
    <t>0412-4693297</t>
  </si>
  <si>
    <t>SEBIN</t>
  </si>
  <si>
    <t xml:space="preserve">17 FUNCIONARIOS/14 MASCULINOS/3 FEMENINAS </t>
  </si>
  <si>
    <t>1 TOYOTA 4RUNNER</t>
  </si>
  <si>
    <t>SI</t>
  </si>
  <si>
    <t>NO</t>
  </si>
  <si>
    <t xml:space="preserve">SE ESTIMA QUE PARA EL DIA DE HOY COMIENCE A LLEGAR LOS DEMAS GRUPOS DE DAMNIFICADOS  </t>
  </si>
  <si>
    <t>LA UNIDAD EDUCATIVA SE ENCUENTRA EN PROCESO DE CENSO Y RECOLECCION DE INFORMACION</t>
  </si>
  <si>
    <t xml:space="preserve">COMISARIO MARIANA LANDAETA </t>
  </si>
  <si>
    <t>C/G GUZMAN</t>
  </si>
  <si>
    <t>CENTRO: U.E.N JOSEFA IRASQUIN LOPEZ</t>
  </si>
  <si>
    <t>CENTRO: CEN SIMONCITO "MAMA ROSA"</t>
  </si>
  <si>
    <t>CENTRO: UE JUAN ANTONIO PEREZ BONALDE</t>
  </si>
  <si>
    <t xml:space="preserve">MIRANDA  </t>
  </si>
  <si>
    <t xml:space="preserve">BARUTA </t>
  </si>
  <si>
    <t>BARUTA</t>
  </si>
  <si>
    <t>CAFETAL</t>
  </si>
  <si>
    <t>NUESTRA SEÑORA DER ROSARIO</t>
  </si>
  <si>
    <t>SUCRE</t>
  </si>
  <si>
    <t>DULCE MORAN</t>
  </si>
  <si>
    <t xml:space="preserve">TRIDIS CONTRERAS </t>
  </si>
  <si>
    <t>YOMAIRE LUCENA</t>
  </si>
  <si>
    <t>0416-6187987</t>
  </si>
  <si>
    <t>0412-8798199</t>
  </si>
  <si>
    <t>0412-9532387</t>
  </si>
  <si>
    <t>PSUV</t>
  </si>
  <si>
    <t>CANCILLERIA</t>
  </si>
  <si>
    <t>MINISTERIO COMUNA</t>
  </si>
  <si>
    <t>NO POSEE</t>
  </si>
  <si>
    <t>T/C GNB EDWIN CARABALO</t>
  </si>
  <si>
    <t>C/J OCTAVIO BARRUETA</t>
  </si>
  <si>
    <t>0414-7935343</t>
  </si>
  <si>
    <t>0412-5957846</t>
  </si>
  <si>
    <t>GNB</t>
  </si>
  <si>
    <t>POLICARACAS</t>
  </si>
  <si>
    <t>8 FUNCIONARIOS</t>
  </si>
  <si>
    <t>01 PATRULLA/08 MOTOS</t>
  </si>
  <si>
    <t>01 PATRULLA /01 MOTO</t>
  </si>
  <si>
    <t xml:space="preserve">SE ENCUENTRAN REALIZANSO CENSO A LOS DAMNIFICADOS </t>
  </si>
  <si>
    <t>COCINA INOPFERATIVA, NO POSEE NEVERA, NO POSEE AIRE ACONDICIONADOS , BAÑOS SIN DUCHA</t>
  </si>
  <si>
    <t xml:space="preserve">SE CREQUIERE VENTILADORES , LA COCINA NO ESTA OPERATIVA ,SE REQUIERE TENSIOMETRO  </t>
  </si>
  <si>
    <t>SOLER</t>
  </si>
  <si>
    <t>CENTRO: UNIDAD EDUCATIVA NACIONAL DOCTOR GUILLERMO DELGADO PALACIOS</t>
  </si>
  <si>
    <t>CENTRO:  LICEO  JOSE AVALO</t>
  </si>
  <si>
    <t>CENTRO: U.E.N Gran Colombia 1 -EDIF. Colombia Edif.Colombia</t>
  </si>
  <si>
    <t>CENTRO: U.E.N. Gran Colombia 2-  Edif. Perú</t>
  </si>
  <si>
    <t xml:space="preserve">CENTRO: U.E.N Gran Colombia 3- Edif. Ecuador </t>
  </si>
  <si>
    <t>El VALLE</t>
  </si>
  <si>
    <t>Santa Rosalía</t>
  </si>
  <si>
    <t xml:space="preserve">Santa Rosalía </t>
  </si>
  <si>
    <t>10.459301, - 66.919522</t>
  </si>
  <si>
    <t>10.463444 - 66.911130</t>
  </si>
  <si>
    <t>10°28'46.2"N 66°54'29.1"W</t>
  </si>
  <si>
    <t xml:space="preserve"> 10°28'46.2"N66°54'29.1"W</t>
  </si>
  <si>
    <t>10°28'46.2"N66°54'29.1"W</t>
  </si>
  <si>
    <t xml:space="preserve"> CAPITAN EDAGAR CAMAUTE </t>
  </si>
  <si>
    <t>Diputado  Jesús Farias</t>
  </si>
  <si>
    <t xml:space="preserve">Marcos Rodolfo Pulgar Salas </t>
  </si>
  <si>
    <t xml:space="preserve">Emely González </t>
  </si>
  <si>
    <t>Aurora Araujo</t>
  </si>
  <si>
    <t>0412-5551533</t>
  </si>
  <si>
    <t xml:space="preserve">0424-2181193 </t>
  </si>
  <si>
    <t xml:space="preserve">CANTV </t>
  </si>
  <si>
    <t xml:space="preserve">BANCO CENTRAL DE VENEZUELA  PADRINO </t>
  </si>
  <si>
    <t xml:space="preserve">Ministerio de la Juventud </t>
  </si>
  <si>
    <t>Gobierno del Distrito Capital; Sub secretaria de Misiones y Grandes Misiones; Ministerio de Pueblo Indígenas (Mariam Guevara. C.I.V: 18417658. Teléfono: 04166133198)</t>
  </si>
  <si>
    <t xml:space="preserve">Ministerio de Educación </t>
  </si>
  <si>
    <t>TENIENTE MARCO ANTONIO RICO BARRIOS</t>
  </si>
  <si>
    <t xml:space="preserve">PRIMER TENIENTE LUIS PEREZ CASTILLO </t>
  </si>
  <si>
    <t xml:space="preserve">Primer Ttte Rodríguez Robles Ivan  </t>
  </si>
  <si>
    <t xml:space="preserve">gto Mayor 3era Paez Vielma José Sebastian </t>
  </si>
  <si>
    <t xml:space="preserve">Sgto Mayor 3era Paez Vielma José Sebastian </t>
  </si>
  <si>
    <t>0426-4632103</t>
  </si>
  <si>
    <t xml:space="preserve">0412-0120706 </t>
  </si>
  <si>
    <t xml:space="preserve">GUARDIA NACIONAL BOLIVARINA </t>
  </si>
  <si>
    <t xml:space="preserve">Guardia del pueblo </t>
  </si>
  <si>
    <t xml:space="preserve">Guardia Nacional </t>
  </si>
  <si>
    <t xml:space="preserve">Guardia del Pueblo </t>
  </si>
  <si>
    <t>Guardia del Pueblo en compañía de  la Guardia Nacional</t>
  </si>
  <si>
    <t xml:space="preserve">NO </t>
  </si>
  <si>
    <t>EN EL PRESITADO CENTRO TRANSICITORIO  ESTAN  INICIANDO LAS ADECUACIÓN DE LOS ESPACIOS PARA RECIBIR LA LOGÍSTICA Y EL PERSONAL QUE VAN ATENDER A LOS REFUGIADOS QUE ESTA ESTA PREVISTO RECIBIRLOS PARA EL DÍA LUNES 06JUL26</t>
  </si>
  <si>
    <t>Están adecuando las instalaciones para recibir a los refugiados</t>
  </si>
  <si>
    <t>Reportan que les hace falta el capta de huellas para mejor control de los refugiados</t>
  </si>
  <si>
    <t>La Población indígena son del sector los corales. Y de tanaguarenas en la Guaira,  el campamento ha Sido visitado por diferentes Fundaciones:
Gabriela Vargas CI 18143318 telf.04126008050 Fundación CEDESEX. 
Gepsi Marques CI 13978615. Telf. 04165364763 Fundación Mentalink.</t>
  </si>
  <si>
    <t>Se están instalando y no están discriminados por sexo. Solo la cantidad en general</t>
  </si>
  <si>
    <t>Solicitan Dotación de tanques de agua.</t>
  </si>
  <si>
    <t>Necesidad del sistema de huella. La seguridad nocturna está por parte de los vigilantes del Ministerio de Educación</t>
  </si>
  <si>
    <t>P/C JEAN SOLER</t>
  </si>
  <si>
    <t>C/G RONNY GALDONAS</t>
  </si>
  <si>
    <t>CENTRO: UEE Adolfo Navas Coronado</t>
  </si>
  <si>
    <t>CENTRO: unidad educativa tito salas</t>
  </si>
  <si>
    <t>CENTRO: U.E.N. Luis Hurtado Higuera</t>
  </si>
  <si>
    <t xml:space="preserve">Miranda </t>
  </si>
  <si>
    <t>Baruta</t>
  </si>
  <si>
    <t>El Cafetal</t>
  </si>
  <si>
    <t>las minas</t>
  </si>
  <si>
    <t>El Junkito</t>
  </si>
  <si>
    <t>10°26'56.7"N 66°51'34.3" W</t>
  </si>
  <si>
    <t>10°29'08.0"N 67°00'11.2"W</t>
  </si>
  <si>
    <t>Anabel  Pereira Fernandez</t>
  </si>
  <si>
    <t>Jesús Teina</t>
  </si>
  <si>
    <t>José Luis Unda</t>
  </si>
  <si>
    <t>Ministerio de Economia y Finanzas</t>
  </si>
  <si>
    <t>comuna primera fortaleza del rozario</t>
  </si>
  <si>
    <t>Ministerio de la Comuna</t>
  </si>
  <si>
    <t>Maikel Jesus Carrero</t>
  </si>
  <si>
    <t>Miguel ramirez</t>
  </si>
  <si>
    <t>Eber Manrrique</t>
  </si>
  <si>
    <t>0424 143 9479</t>
  </si>
  <si>
    <t>0424-253-92-80</t>
  </si>
  <si>
    <t>Bandes</t>
  </si>
  <si>
    <t>DGCIM</t>
  </si>
  <si>
    <t>P.N.B / Milicia.</t>
  </si>
  <si>
    <t>EL CENTRO SE ENCUENTRA EN ACONDICIONAMIENTO, SE TIENE ESTIMADO RECIBIR 60 PERSONAS. AUN ESTAN CONFIRMANDO INFORMACION.</t>
  </si>
  <si>
    <t>EL CENTRO SE ENCUENTRA EN ACONDICIONAMIENTO
 TODAVIA ESTAN A LA ESPERA DE LAS PERSONAS QUE SE VAN A HOSPEDAR EN EL RECINTO
NOTA: TODAVIA ESTAN A LA ESPERA DE LAS PERSONAS QUE SE VAN A HOSPEDAR EN EL RECINT</t>
  </si>
  <si>
    <t>C/G MIGUEL PÉREZ LÓPEZ</t>
  </si>
  <si>
    <t xml:space="preserve">SEBASTIAN </t>
  </si>
  <si>
    <t>CENTRO: UE. JESUS ENRIQUE LOZADA</t>
  </si>
  <si>
    <t>CENTRO: UN. FRANCISCO PIMENTEL</t>
  </si>
  <si>
    <t>CENTRO: U.E.N. PEDRO EMILIO COLL</t>
  </si>
  <si>
    <t>EL RECREO</t>
  </si>
  <si>
    <t>STA. TERESA</t>
  </si>
  <si>
    <t>COCHE</t>
  </si>
  <si>
    <t>10° 30' 13" LN 66° 52' 10" LO</t>
  </si>
  <si>
    <t>10° 29' 47" LN. 66° 55' 5" LO</t>
  </si>
  <si>
    <t>10.4508° N, 66.9227° O</t>
  </si>
  <si>
    <t>ANGEL BLANCO</t>
  </si>
  <si>
    <t>NORLAN RAMOS</t>
  </si>
  <si>
    <t>LUISA DAYANA MARTÍNEZ</t>
  </si>
  <si>
    <t>0424-1465948</t>
  </si>
  <si>
    <t>0412-9046707</t>
  </si>
  <si>
    <t>0412-5930036</t>
  </si>
  <si>
    <t>MINISTERIO DE COMERCIO EXTERIOR</t>
  </si>
  <si>
    <t>SENIAT</t>
  </si>
  <si>
    <t>MINISTERIO DEL PODER POPULAR PARA LA EDUCACIÓN</t>
  </si>
  <si>
    <t xml:space="preserve">CJ ESPARTACO HERMANDEZ </t>
  </si>
  <si>
    <t>CNEL. HENRY CUBILLAN</t>
  </si>
  <si>
    <t>CAP. PÉREZ PÉREZ GERALD</t>
  </si>
  <si>
    <t>0424-2090472</t>
  </si>
  <si>
    <t>0414-6514656</t>
  </si>
  <si>
    <t>0416-9492603</t>
  </si>
  <si>
    <t>FALTA DE COORDINACION PARA LA ALIMENTACION DEL PERSONAL DE SEGURIDAD.</t>
  </si>
  <si>
    <t>NOMBRE DEL JEFE DE SEGURIDAD CORONEL LEONARDO  MALAGUERA, ESTE DESIGNA RESPONSABLE  AL CAPITAN PÉREZ PÉREZ GERALD.</t>
  </si>
  <si>
    <t>HAY COLCHONES PERO NO HAN LLEGADO LAS LITERAS.</t>
  </si>
  <si>
    <t>VEHICCULOS DEL COMANDO RURAL GNB  43-1 EL HATILLO.</t>
  </si>
  <si>
    <t>TRABAJOS EN ELECTRICIDAD Y BAÑOS.</t>
  </si>
  <si>
    <t>BAÑOS PRINCIPALES ESTÁN EN FASE DE CONSTRUCCIÓN.</t>
  </si>
  <si>
    <t>P/COM PEREZ JONATHAN</t>
  </si>
  <si>
    <t>C/G JOSE ROZO</t>
  </si>
  <si>
    <t>CENTRO: UEN PEDRO PONTES</t>
  </si>
  <si>
    <t>CENTRO: UE. JOSE IGNACIO PAZ CASTILLO</t>
  </si>
  <si>
    <t>CENTRO: LICEO AGUSTIN AVELEDO</t>
  </si>
  <si>
    <t>LA VEGA</t>
  </si>
  <si>
    <t>LA PASTORA</t>
  </si>
  <si>
    <t>10°28'22.2"N 66°56'58.0"W</t>
  </si>
  <si>
    <t>G38H+6H9, Caracas 1010, Distrito Capital</t>
  </si>
  <si>
    <t>MANUEL RINCÓN</t>
  </si>
  <si>
    <t>MILAGROS CARRILLO</t>
  </si>
  <si>
    <t>RAMON DANIEL MANIGLIA DARWICH</t>
  </si>
  <si>
    <t>0414-2792671</t>
  </si>
  <si>
    <t>0412-5554962</t>
  </si>
  <si>
    <t>CONTRALORIA GENERAL DE LA REPUBLICA</t>
  </si>
  <si>
    <t>SALA DE AUTOGOBIERNO COMUNA ESTA TIERRA ES NUESTRA</t>
  </si>
  <si>
    <t>PEQUIVEN</t>
  </si>
  <si>
    <t>COMISARIO RAMON ARCA</t>
  </si>
  <si>
    <t>WILMER CISNEROS</t>
  </si>
  <si>
    <t>0414-1184886</t>
  </si>
  <si>
    <t>0412-9615675</t>
  </si>
  <si>
    <t>PNB</t>
  </si>
  <si>
    <t>ODDI CUADRANTE DE PAZ</t>
  </si>
  <si>
    <t xml:space="preserve"> EL CENTRO SE ENCUENTRA EN FASE DE HABILITACIÓN DE ESPACIOS</t>
  </si>
  <si>
    <t>DEFICIT DE INSUMOS MEDICOS, LIMPIEZA, ALIMENTACION, VENTILADORES DORMITORIOS</t>
  </si>
  <si>
    <t>NO TIENE EL NUM DE TLF DEL RESPONSABLE POLITICO</t>
  </si>
  <si>
    <t>EL CAMPAMENTO  ESTA REESTRUCTURANDO LOS BAÑOS Y HABILITANDO LA DUCHAS, INTERNET Y SERVICIO DE AGUA (TANQUES, TAMBORES Y BOMBAS DE AGUA).</t>
  </si>
  <si>
    <t>NO HAN DESIGNADO JEFE DE SEGURIDAD</t>
  </si>
  <si>
    <t>SE MANTIENE CONTACTO CON JORGE MOTA ( 0412-7341506 / 29.622.807) Y JOEL MANGARRE ( 0414-0288030 / 10.151.257), RESPONSABLES PRESENTES EN EL LUGAR.</t>
  </si>
  <si>
    <t>SE ESTAN HACIENDO ADECUCAIONES DE MANTENIMIENTO/INSTALACIONES EN EL CAMPAMENTO.</t>
  </si>
  <si>
    <t>C/G CARDOZZO</t>
  </si>
  <si>
    <t>CENTRO: ESCUELA INTERNACIONAL DE LIDERAZGO ANTONIO JOSE DE SUCRE</t>
  </si>
  <si>
    <t>FILAS DE MARICHE</t>
  </si>
  <si>
    <t>10°26'47.4"N 66°44'31.6"W</t>
  </si>
  <si>
    <t>KENEDY MORALES</t>
  </si>
  <si>
    <t>0424-2796932</t>
  </si>
  <si>
    <t>MINISTERIO DE EDUCACION Y COMUNAS</t>
  </si>
  <si>
    <t>COMISARIO JOSE SANCHEZ</t>
  </si>
  <si>
    <t>0412-7287070</t>
  </si>
  <si>
    <t>PNB / POLI MIRANDA</t>
  </si>
  <si>
    <t>CARENTES DE INSUMOS MEDICOS.</t>
  </si>
  <si>
    <t>NATHALIA</t>
  </si>
  <si>
    <t xml:space="preserve">CENTRO:  Unidad Educativa Nacional Juan Landaeta </t>
  </si>
  <si>
    <t>CENTRO: Complejo Educativo José Gervasio Artigas</t>
  </si>
  <si>
    <t>CENTRO:  Liceo Bolivariano Juan Lovera</t>
  </si>
  <si>
    <t>CENTRO: Unidad Educativa Nacional Claudio Feliciano</t>
  </si>
  <si>
    <t>DTTO. CAPITAL</t>
  </si>
  <si>
    <t>MACARAO</t>
  </si>
  <si>
    <t>https://maps.app.goo.gl/zwtLS1DzLN5N3M5M7?g_st=ac</t>
  </si>
  <si>
    <t>RICHARD ARGUELLO</t>
  </si>
  <si>
    <t>FRANCISCO PADRON</t>
  </si>
  <si>
    <t>DOUGLAS JOSE MATERAN</t>
  </si>
  <si>
    <t xml:space="preserve">ERICA CASTRO </t>
  </si>
  <si>
    <t>V-12.864.816</t>
  </si>
  <si>
    <t>V- 17.642.632</t>
  </si>
  <si>
    <t>V- 12.544.751</t>
  </si>
  <si>
    <t>V-24.529.081</t>
  </si>
  <si>
    <t>0412-9639421</t>
  </si>
  <si>
    <t>0426-5118821</t>
  </si>
  <si>
    <t>0412-2974318</t>
  </si>
  <si>
    <t>MINISTERIO DE OBRAS PÙBLICAS</t>
  </si>
  <si>
    <t>BANCO DEL TERESO</t>
  </si>
  <si>
    <t xml:space="preserve">ALCALDIA DE CARACAS </t>
  </si>
  <si>
    <t xml:space="preserve">GOBIERNO DE CARACAS/UBCH JEFA DE CENTRO ELECTORAL </t>
  </si>
  <si>
    <t xml:space="preserve">JOSÈ GREGORIO DUQUE </t>
  </si>
  <si>
    <t xml:space="preserve">G/B MANUEL  SÀNCHEZ </t>
  </si>
  <si>
    <t>CARLOS EDUARDO SÀNCHEZ GUILLÈN</t>
  </si>
  <si>
    <t>V-16.288.943</t>
  </si>
  <si>
    <t>V- 6.237.188</t>
  </si>
  <si>
    <t>V- 16.412.127</t>
  </si>
  <si>
    <t>0414-1050207</t>
  </si>
  <si>
    <t>0412-4375482</t>
  </si>
  <si>
    <t>0424-7053216</t>
  </si>
  <si>
    <t>CICPC</t>
  </si>
  <si>
    <t>SI, 02</t>
  </si>
  <si>
    <t>SI, 01</t>
  </si>
  <si>
    <t>NO ( REQUIERE URGENTE)</t>
  </si>
  <si>
    <t>SI/ ALBERTINA MORALES C.I: V-12.069.574 TLF: 0424-2995659</t>
  </si>
  <si>
    <t xml:space="preserve">CENSO EN PROCESO </t>
  </si>
  <si>
    <t>EL PLANTEL EDUCATIVO CUENTA CON 03 NIVELES Y UNA CAPACIDAD PARA 400 PERSONAS.</t>
  </si>
  <si>
    <t xml:space="preserve"> PERSONA CON DISCAPACIDAD:02 
*ZULAY CORREA 
POR ACV
C.I: v-10380990
*JOMELIS SILVA 
V-14891823
 ESQUIZOFRENIA.</t>
  </si>
  <si>
    <t>SE ESTIMA EL INGRESO DE 280 PERSONAS CON UN APROXIMADO DE 52 FAMILIA</t>
  </si>
  <si>
    <t>BAÑOS MASCULINOS 18, 30 FEMENINAS 8 SE ESTÀN HABILITANDO BAÑOS PORTÀTILES)</t>
  </si>
  <si>
    <t xml:space="preserve">ADOLESCENTES:07
MASCULINO: 03
 FEMENINOS: 04
CON ESPACIOS PARA LA COCINA, SIN OPERATIVIDAD.
 BAÑOS OPERATIVOS 
 AGUA RECURRENTE
20 CORCHONETAS 
02 CANINOS </t>
  </si>
  <si>
    <t xml:space="preserve">AREA PARA COCINA: SI
BAÑOS : SI 
AREA DE ESPARCIMIENTO: SI </t>
  </si>
  <si>
    <t>INFORMACIÒN  EMITIDA POR: RAILU DENISSE BLANCO MORALES
C.I: V-17691709
TLF: 0424121416
CARGO: DIRECTORA DE GESTION HUMANA  DEL  MINISTERIO DEL PODER POPULAR PARA LA EDUCACION.</t>
  </si>
  <si>
    <t>DTTV RONALDY MARTÌNEZ</t>
  </si>
  <si>
    <t xml:space="preserve">DTTV RONALDY MARTÌNEZ </t>
  </si>
  <si>
    <t>C/G RAMÒN YEPEZ</t>
  </si>
  <si>
    <t xml:space="preserve">C/G RAMÒN YEPEZ </t>
  </si>
  <si>
    <t>CENTRO: CEN ANA MARÍA CAMPOS</t>
  </si>
  <si>
    <t>CENTRO: CEN MARISCAL SUCRE</t>
  </si>
  <si>
    <t>CENTRO: UNIDAD EDUC. ESTADAL FRANCISCO IZNARDI</t>
  </si>
  <si>
    <t>CENTRO: UEN DR. JOSÉ DE JESÚS AROCHA</t>
  </si>
  <si>
    <t>LA DOLORITA</t>
  </si>
  <si>
    <t>10.4484739,-66.7445583,16</t>
  </si>
  <si>
    <t>10.4620216-66.7630672</t>
  </si>
  <si>
    <t>10.4589414-66.7575537</t>
  </si>
  <si>
    <t>10.4767121,-66.8064085</t>
  </si>
  <si>
    <t>JOSÉ VICENTE RANGEL S.</t>
  </si>
  <si>
    <t>CNEL (EJB) JOSÉ ZAMBRANO</t>
  </si>
  <si>
    <t>ANA KATIUSCA LEÓN TORRES</t>
  </si>
  <si>
    <t>GABRIELA BERRIOS</t>
  </si>
  <si>
    <t xml:space="preserve"> V-16.876.384</t>
  </si>
  <si>
    <t>V-13.468.262</t>
  </si>
  <si>
    <t>V-11.689.472</t>
  </si>
  <si>
    <t>SE PROCESA</t>
  </si>
  <si>
    <t>0414-3298498</t>
  </si>
  <si>
    <t>0416-6135483</t>
  </si>
  <si>
    <t>0424-1697101</t>
  </si>
  <si>
    <t>0412-6051385</t>
  </si>
  <si>
    <t xml:space="preserve"> INST. MUNIC. AUTÓNOMO DE PROTECC. SANEAM. (IMAPSAS)</t>
  </si>
  <si>
    <t>MINISTERIO DEL PODER POPULAR PARA INDUSTRIA Y COMERCIO</t>
  </si>
  <si>
    <t>CONSEJO LEGISLATIVO DEL ESTADO MIRANDA</t>
  </si>
  <si>
    <t>CORPOELEC</t>
  </si>
  <si>
    <t>POR DESIGNAR</t>
  </si>
  <si>
    <t>COMISARIO JOSÉ ARIAS</t>
  </si>
  <si>
    <t>I/J SALANDI DRAIMER</t>
  </si>
  <si>
    <t>I/J OGLIS AGUIRRE</t>
  </si>
  <si>
    <t>V-15.758.276</t>
  </si>
  <si>
    <t>0414-3967801</t>
  </si>
  <si>
    <t>POLICÍA MUNICIPAL DE SUCRE</t>
  </si>
  <si>
    <t>ALCALDÍA DEL MUNICIPIO SUCRE</t>
  </si>
  <si>
    <t>POLIMIRANDA</t>
  </si>
  <si>
    <t>POLISUCRE</t>
  </si>
  <si>
    <t xml:space="preserve">POR ASIGNAR </t>
  </si>
  <si>
    <t>NINGUNO</t>
  </si>
  <si>
    <t>CAPACIDAD PARA 200 PERSONAS, SE PREVE RECIBIR A 120 PERSONAS</t>
  </si>
  <si>
    <t xml:space="preserve">CENTRO NO APTO, SIN CONDICIONES DE SEGURIDAD </t>
  </si>
  <si>
    <t>LA SUDEBAN, ES LA ENCARGADA DEL SUMINISTRO LOGÍSTICO</t>
  </si>
  <si>
    <t>CENTRO EN FASE DE ACONDICIONAMIENTO</t>
  </si>
  <si>
    <t>INSTALACIONES EN FASE DE ACONDICIONAMIENTO, SE ESPERA LLEGADA DE ENSERES E INSUMOS.</t>
  </si>
  <si>
    <t>CENTRO TRANSITORIO EN FASE DE ACONDICIONAMIENTO</t>
  </si>
  <si>
    <t>PREVE RECIBIR 50 PERSONAS</t>
  </si>
  <si>
    <t>CAPTAHUELLAS ASIGNADOS AL COORDINADOR POLITICO</t>
  </si>
  <si>
    <t>FACHADAS Y PAREDES AFECTADAS DURANTE LOS TERREMOTOS</t>
  </si>
  <si>
    <t>NO CUENTA CON EL SERVICIO DE ELECTRICIDAD Y ESTÁN TRABAJANDO PARA REESTABLECERLO.</t>
  </si>
  <si>
    <t>FUERON ASIGNADOS LOS CAPTAHUELLAS</t>
  </si>
  <si>
    <t>ASEGURAMIENTO ESTARÁ A CARGO DE 10 FUNCIONARIOS DE POLISUCRE</t>
  </si>
  <si>
    <t>CAPACIDAD PARA ATENDER 150 PERSONAS, SE ESPERA RECIBIR ENTRE 120 Y 150 PERSONAS</t>
  </si>
  <si>
    <t>PROF. MARVIN OSIO</t>
  </si>
  <si>
    <t>P/C ROYLAD BELISARIO</t>
  </si>
  <si>
    <t>CENTRO: UEN VICENTE GIL</t>
  </si>
  <si>
    <t>CENTRO: UE LUIS PADRINO</t>
  </si>
  <si>
    <t>SAN BERNARDINO</t>
  </si>
  <si>
    <t>SAN JUAN</t>
  </si>
  <si>
    <t>10.517917/66.900161</t>
  </si>
  <si>
    <t>10.491/66.931</t>
  </si>
  <si>
    <t>MILAGROS SALINAS</t>
  </si>
  <si>
    <t>EILEN GONZÁLEZ</t>
  </si>
  <si>
    <t>0426-0550754</t>
  </si>
  <si>
    <t>0424-7816132</t>
  </si>
  <si>
    <t>SAREN</t>
  </si>
  <si>
    <t>MINISTERIO DEL PODER POPULAR PARA SERVICIOS PENITENCIARIOS</t>
  </si>
  <si>
    <t>NO DESIGNADO</t>
  </si>
  <si>
    <t>JOSÉ GRANADO</t>
  </si>
  <si>
    <t>V-11.009.357</t>
  </si>
  <si>
    <t>CENTRO POR ACONDICIONAMIENTO DE INSTALACIONES</t>
  </si>
  <si>
    <t>NO SE ENCUENTRAN AUTORIDADES PRESENTES.</t>
  </si>
  <si>
    <t>EN EL CENTRO NO SE ENCUENTRAN AUTORIDADES PRESENTES</t>
  </si>
  <si>
    <t>INSTALACIONES SE ENCUENTRAN EN ACONDICIONAMIENTO (OBREROS TRABAJANDO)</t>
  </si>
  <si>
    <t>C/G JORGE MEDINA</t>
  </si>
  <si>
    <t xml:space="preserve">SAMUEL </t>
  </si>
  <si>
    <t>CAMILO</t>
  </si>
  <si>
    <t>CENTRO:  UE. ALEJO FORTIQUE</t>
  </si>
  <si>
    <t>CENTRO: Andrés Bello</t>
  </si>
  <si>
    <t xml:space="preserve">SIN GRAFICAS </t>
  </si>
  <si>
    <t xml:space="preserve">DTTO. MIRANDA </t>
  </si>
  <si>
    <t>La Candelaria</t>
  </si>
  <si>
    <t>Coche</t>
  </si>
  <si>
    <t>10° 43' 07" LN 66° 87' 57" LO</t>
  </si>
  <si>
    <t>10° 50' 18" LN 66° 90' 37" LO</t>
  </si>
  <si>
    <t>JAVIER DUARTE</t>
  </si>
  <si>
    <t xml:space="preserve"> Lesguis Pajedes  </t>
  </si>
  <si>
    <t>Varguin González</t>
  </si>
  <si>
    <t xml:space="preserve">se procesa </t>
  </si>
  <si>
    <t>MINISTERIO DE SERVICIOS PENITENCIARIOS</t>
  </si>
  <si>
    <t>Cocejal y enlace Político de la Candelari</t>
  </si>
  <si>
    <t xml:space="preserve">INH JULIO LEÓN HEREDIA </t>
  </si>
  <si>
    <t xml:space="preserve">MAYOR (GNB) MICHAEL NUÑEZ </t>
  </si>
  <si>
    <t xml:space="preserve">Mayor Enrique Olmos  </t>
  </si>
  <si>
    <t xml:space="preserve">José Luis Veramendez </t>
  </si>
  <si>
    <t>SERVICIO PENITENCIARIO</t>
  </si>
  <si>
    <t>MILICIA</t>
  </si>
  <si>
    <t>POLICIA MUNICIPIO LIBERTADOR</t>
  </si>
  <si>
    <t>LAS ADECUACIONES LAS ESTA ASUMIENDO EL SERVICIO PENITENCIARIO CON PRIVADOS DE LIBERTAD, A LA HORA EQUIPO DE PDVSA INGRESA PARA LA INSTALACIÓN DE CÁMARAS</t>
  </si>
  <si>
    <t>DOS EMBARAZADA, DOS ADULTOS MAYORES UNO (01) DISCAPACIDAD VISUAL, UNO (01) CON DIABETES, EN LA INTALACIONES DE CE ANRES BELLOS SIN NOVEDAD</t>
  </si>
  <si>
    <t>MANTENIMIENTO DE OBRAS PUBLICAS,  CHEQUEO HIDROBEN, INFRAESTRUCTURA EN ÓPTIMAS CONDICIONES</t>
  </si>
  <si>
    <t>COM. DEIVI FERNANDEZ</t>
  </si>
  <si>
    <t>C/G CARLOS ORTEGA</t>
  </si>
  <si>
    <t>CENTRO: UNIDAD EDUCATIVA NACIONAL MAESTRA JUDITH LIENDO</t>
  </si>
  <si>
    <t xml:space="preserve">CENTRO: Unidad Educativa Generala Manuela Sáenz </t>
  </si>
  <si>
    <t>CENTRO:  Liceo Leopoldo Aguerrevere</t>
  </si>
  <si>
    <t>El Valle</t>
  </si>
  <si>
    <t>Sanj Pedro</t>
  </si>
  <si>
    <t>10.458042889648349, -66.91609766425218</t>
  </si>
  <si>
    <t>10.486147663059322, -66.88907597868587</t>
  </si>
  <si>
    <t xml:space="preserve">José Luis Rebolledo Monjes </t>
  </si>
  <si>
    <t>Viceministro José Fragoza</t>
  </si>
  <si>
    <t>Gladys Gricelda Rodríguez Boyer</t>
  </si>
  <si>
    <t xml:space="preserve"> 0426-5740423/ 0422-0180832</t>
  </si>
  <si>
    <t xml:space="preserve">Ministerio de Pesca y Acuicultura </t>
  </si>
  <si>
    <t>Ministerio del Poder Popular de Atención de las Aguas</t>
  </si>
  <si>
    <t xml:space="preserve">Procuraduría General de la Republica </t>
  </si>
  <si>
    <t>Capitán Ángel  Mestra Jovito Leandro</t>
  </si>
  <si>
    <t xml:space="preserve">Sargento Primero Herrera Griego Ángel José </t>
  </si>
  <si>
    <t xml:space="preserve"> Primer Teniente Gutiérrez Moreno Cesar Yldemar</t>
  </si>
  <si>
    <t>0412-9035741</t>
  </si>
  <si>
    <t>Guarda Nacional Bolivariana 
- NÚMERO DE PERSONAL A SU MANDO: 18</t>
  </si>
  <si>
    <t xml:space="preserve"> Guardia Nacional Bolivariana </t>
  </si>
  <si>
    <t>Guardia Nacional Bolivariana</t>
  </si>
  <si>
    <t xml:space="preserve">En el Campamento se sostuvo entrevista con la Ciudadana Isabel Noguera, Gerente Corporativo de Seguridad Física de PDVSA, Teléfono de contacto 0412-2635289, quién manifestó la instalación de un Circuito Cerrado de Cámaras de Seguridad en el referido plantel. </t>
  </si>
  <si>
    <t>En espera de la designación como Campamento Transitorio.</t>
  </si>
  <si>
    <t>218, aún sin desglosar por género ni edad.</t>
  </si>
  <si>
    <t>Se logro observar que se mantienen en labores de acondicionamiento de la infraestructura (Construcción de baños), por parte de la Procuraduría General de la Republica, ente encantado del Campamento transitorio.</t>
  </si>
  <si>
    <t xml:space="preserve">C/G GONLALEZ MARRON </t>
  </si>
  <si>
    <t>CENTRO:UENB Carlos Deelgado Charlboud</t>
  </si>
  <si>
    <t>CENTRO: UEN PEDRO FONTES</t>
  </si>
  <si>
    <t>0414-279.2671</t>
  </si>
  <si>
    <t>CONTRALORIA GENERAL DE LA REPUBLICA - ANDRES BELLO - 0416-8083202</t>
  </si>
  <si>
    <t>RAMON ARCA</t>
  </si>
  <si>
    <t>COMISARIO JOSE SANCHES</t>
  </si>
  <si>
    <t>0414-118.4886</t>
  </si>
  <si>
    <t>POLICIA NACIONAL BOLIVARIANA</t>
  </si>
  <si>
    <t>POLICIA NACIONAL BOLIVARIANA / POLIMIRANDA</t>
  </si>
  <si>
    <t>01 CAMIONETA 04 MOTOS</t>
  </si>
  <si>
    <t xml:space="preserve">SI </t>
  </si>
  <si>
    <t>EL CENTRO SE ENCUENTRA EN FASE DE HABILITACIÓN DE ESPACIOS</t>
  </si>
  <si>
    <t>CARENCIA DE INSUMOS MÉDICOS (LISTADO)</t>
  </si>
  <si>
    <t>EL CDI DE LA COMUNIDAD APOYARA CON LOS CASOS DE SALUD</t>
  </si>
  <si>
    <t>NO CUENTAN CON DISTRIBUCIÓN DE ALIMENTOS/ NINGÚN ENTE LOS PROVEE.</t>
  </si>
  <si>
    <t>AL APERTURAR, LA CONTRALORIA HABILITARA UN SERVICIO MÉDICO QUE INCLUIRA PSICOLÓGIA</t>
  </si>
  <si>
    <t>P/I SAMANTHA HERNÁNDEZ</t>
  </si>
  <si>
    <t>C/G BRITO</t>
  </si>
  <si>
    <t>CENTRO: UNIDAD EDUCATIVA NACIONAL CONOPOIMA</t>
  </si>
  <si>
    <t>CENTRO: UNIDAD  EDUCATIVA NACIONAL LINO DE CLEMENTE</t>
  </si>
  <si>
    <t>CENTRO: UEN EL LIBERTADOR</t>
  </si>
  <si>
    <t>CENTRO: UNIDAD EDUCATIVA NACIONAL  JESÚS MARIA ALFARO ZAMORA</t>
  </si>
  <si>
    <t>EL HATILLO</t>
  </si>
  <si>
    <t>CHACAO</t>
  </si>
  <si>
    <t>10.423575,-66.821548</t>
  </si>
  <si>
    <t>10°27'31.1N y 66°51'56.3W</t>
  </si>
  <si>
    <t>10°30,29''N,66°06''O</t>
  </si>
  <si>
    <t>10.464064,-66.832184</t>
  </si>
  <si>
    <t>MARÍA BELLY</t>
  </si>
  <si>
    <t xml:space="preserve"> JOSE CONTRERAS</t>
  </si>
  <si>
    <t>CRISMER LAUCHO</t>
  </si>
  <si>
    <t>YARISOL BERRIOS</t>
  </si>
  <si>
    <t>0412-9203517</t>
  </si>
  <si>
    <t xml:space="preserve"> 0412-9906973</t>
  </si>
  <si>
    <t>SUPERINTENDENCIA DE LA ACTIVIDAD ASEGURADORA (SUDIASEG)</t>
  </si>
  <si>
    <t>INSTITUTO VENEZOLANO DE LOS SEGUROS SOCIALES (IVSS)</t>
  </si>
  <si>
    <t xml:space="preserve">MINISTERIO DE HÁBITAT Y VIVIENDA </t>
  </si>
  <si>
    <t>INSTITUTO NACIONAL DE LOS ESPACIOS ACUATICOS.</t>
  </si>
  <si>
    <t>NO CUENTA CON PERSONAL DE SEGURIDAD ASIGNADO</t>
  </si>
  <si>
    <t>NO SE CONSIDERA APTO PARA REFUGIO</t>
  </si>
  <si>
    <t xml:space="preserve">FRACTURA EN LOS TANQUES DE AGUA </t>
  </si>
  <si>
    <t>NO CUENTA CON CAMAS NI COBIJAS (SOLO COLCHONES)</t>
  </si>
  <si>
    <t>ZONA IDE ALTA PELIGROSIDAD</t>
  </si>
  <si>
    <t>FUGA DE GAS EN LA COCINA</t>
  </si>
  <si>
    <t>NO CUENTA CON DUCHAS</t>
  </si>
  <si>
    <t>FALLAS DE ALUMBRADO PÚBLICO</t>
  </si>
  <si>
    <t>SERVICIO DE AGUA RACIONADO ( MIERCOLES A DOMINGO)</t>
  </si>
  <si>
    <t>ZONA DE OPOSICIÓN</t>
  </si>
  <si>
    <t>C/J LEIDY BRISEÑO</t>
  </si>
  <si>
    <t>COM. WIZULEIDYS MÚJICA</t>
  </si>
  <si>
    <t>COM. WENDY SANTAELLA</t>
  </si>
  <si>
    <t>COM. KELY SANTIAGO</t>
  </si>
  <si>
    <t>CENTRO: ESCUELA NACIONAL DE ARTES ESCÉNICAS CESAR RENGIFO</t>
  </si>
  <si>
    <t xml:space="preserve">ALTAGRACIAS </t>
  </si>
  <si>
    <t>10°30'43.9"N
60°54'54.6W</t>
  </si>
  <si>
    <t>MIGUEL FIGUEROA</t>
  </si>
  <si>
    <t>VICEMINISTRO DE  CULTURA AUDIOVISUAL</t>
  </si>
  <si>
    <t>SAUL BRISEÑO</t>
  </si>
  <si>
    <t>SE RETIRARON DOS CIUDADANOS POR VOLUNTAD PROPIA (SE LEVANTÓ ACTA)</t>
  </si>
  <si>
    <t xml:space="preserve">SE RECIBIO UN CAPTA HUELLAS POR PARTE DEL DIPUTADO PEDRO INFANTE, CON MULTIPLES FALLAS; REGISTRO MULTIPLE DEL MISMO AFECTADO, NO IMPRIME REGISTRO PARA AUDITORIAS, NO ESPECIFICA EL CENTRO. </t>
  </si>
  <si>
    <t>P/I. SAMANTHA HERNÁNDEZ</t>
  </si>
  <si>
    <t>C/G SAÚL BRISEÑO</t>
  </si>
  <si>
    <t>SAMANTHA</t>
  </si>
  <si>
    <t xml:space="preserve">LEONARDO </t>
  </si>
  <si>
    <t>CENTRO: LICEO MIGUEL ANTONIO CARO</t>
  </si>
  <si>
    <t>CENTRO: U.E. Armando Zuloaga Blanco</t>
  </si>
  <si>
    <t>CENTRO: Complejo Educativo ETI Rafael Vegas</t>
  </si>
  <si>
    <t xml:space="preserve">SAN JOSÉ </t>
  </si>
  <si>
    <t>10.5145612, - 66.939777</t>
  </si>
  <si>
    <t>10°30'43.0" - 66°54'39.5"</t>
  </si>
  <si>
    <t>10°30'25.0" - 66°57'40.8"</t>
  </si>
  <si>
    <t>NAHUM FERNÁNDEZ</t>
  </si>
  <si>
    <t>Andry Selene Aparicio V.</t>
  </si>
  <si>
    <t>Vicemin. Francisco Fonseca</t>
  </si>
  <si>
    <t>JEFE DE GOBIERNO DEL DISTRITO CAPITAL</t>
  </si>
  <si>
    <t>Ministerio del Poder Popular para la Alimentación</t>
  </si>
  <si>
    <t>C/G  EDWIN CUENCA</t>
  </si>
  <si>
    <t xml:space="preserve">Myor Ibarra Rincón Nilsmerc </t>
  </si>
  <si>
    <t xml:space="preserve">Cnel Humberto Arellano </t>
  </si>
  <si>
    <t>0416.490.24.73</t>
  </si>
  <si>
    <t>CICPC y PNB</t>
  </si>
  <si>
    <t>No transmitió la información</t>
  </si>
  <si>
    <t>03 VEHÍCULOS Y 40 MOTOS</t>
  </si>
  <si>
    <t>El Ministerio de Obras Públicas esta arreglando los baños del Liceo, actualmente utilizan baños portátiles en el Parque Alí Primera</t>
  </si>
  <si>
    <t xml:space="preserve">En espera de la llegada de los dagnificados </t>
  </si>
  <si>
    <t>Se espera que el plantel sea utilizado solo para personas bajo observación médica.</t>
  </si>
  <si>
    <t>PDVSA les suministra la alimentación y 500 comidas preparan al frente de la Escuela</t>
  </si>
  <si>
    <t>Baños con deterioro</t>
  </si>
  <si>
    <t xml:space="preserve">Cuentan con comedor con capacidad para 400 comenzales </t>
  </si>
  <si>
    <t>Tienen problemas para que les llegue el Agua Potable</t>
  </si>
  <si>
    <t>Carece de gas directo, solo cuentan con 2 bombonas de 18 y 01 de 43 kg</t>
  </si>
  <si>
    <t>PROF. C. JOSÉ HERNÁNDEZ</t>
  </si>
  <si>
    <t xml:space="preserve">C/G JOSÉ AGUANA NÚÑEZ </t>
  </si>
  <si>
    <t>POR CENSAR</t>
  </si>
  <si>
    <t>CENTRO:  U.E.N SOROCAIMA</t>
  </si>
  <si>
    <t>CENTRO: U.E.N. Eduardo Crema</t>
  </si>
  <si>
    <t>Miranda</t>
  </si>
  <si>
    <t>Baruta , Nuestra Señora del Rosario</t>
  </si>
  <si>
    <t>El Paraiso</t>
  </si>
  <si>
    <t xml:space="preserve">10.489793,-66.930506 </t>
  </si>
  <si>
    <t>María Quinterro</t>
  </si>
  <si>
    <t xml:space="preserve">  Min. de Ciencia y Tecnologia</t>
  </si>
  <si>
    <t>Miguel Briceño</t>
  </si>
  <si>
    <t>0412-218-53-20</t>
  </si>
  <si>
    <t>Min Ciencia y Tecnologia</t>
  </si>
  <si>
    <t>EL CENTRO SE ENCUENTRA EN ACONDICIONAMIENTO, SE TIENE ESTIMADO RECIBIR 80 PERSONAS. AUN ESTÁN CONFIRMANDO INFORMACIÓN.
‎EL CENTRO SE ENCUENTRA EN ACONDICIONAMIENTO, SE TIENE ESTIMADO RECIBIR 80 PERSONAS. AUN ESTÁN CONFIRMANDO INFORMACIÓN.
‎EL CENTRO SE ENCUENTRA EN ACONDICIONAMIENTO, SE TIENE ESTIMADO RECIBIR 80 PERSONAS. AUN ESTÁN CONFIRMANDO INFORMACIÓN.
‎</t>
  </si>
  <si>
    <t>Nota : solo se encuentra el personal de mantenimiento , así mismo el encargado es el ciudadano JHONATAN RINCON CEDULA C.IV- 14.074.408</t>
  </si>
  <si>
    <t>CENTRO: UEN GENERALISIMO FRANCISCO DE MIRANDA</t>
  </si>
  <si>
    <t>CENTRO: UEN Rafael Napoleón Baute</t>
  </si>
  <si>
    <t>CENTRO: CEN NEGRO PRIMERO CAUCAGUITA</t>
  </si>
  <si>
    <t>CENTRO: CEN LUIS BELTRÁN PRIETO FIGUEROA</t>
  </si>
  <si>
    <t>CAUCAGUITA</t>
  </si>
  <si>
    <t xml:space="preserve">PETARE </t>
  </si>
  <si>
    <t>10.487837315324562, -66.84784642940987</t>
  </si>
  <si>
    <t>10.48179059571, -66.7977097</t>
  </si>
  <si>
    <t>10.484968722090283, -66.74088119994545</t>
  </si>
  <si>
    <t>10.493542878911027, -66.82645090433157</t>
  </si>
  <si>
    <t>DIPUTADO JULIO TORO</t>
  </si>
  <si>
    <t>Franco Sánchez</t>
  </si>
  <si>
    <t xml:space="preserve">JORGE FERNÁNDEZ </t>
  </si>
  <si>
    <t>Sethisis Machado</t>
  </si>
  <si>
    <t>MINISTERIO DE INDUSTRIA Y COMERCIO</t>
  </si>
  <si>
    <t>ALCALDIA MCPIO. SUCRE</t>
  </si>
  <si>
    <t>DIRECTOR DEL COLEGIO</t>
  </si>
  <si>
    <t>ALCLADIA MCPIO.  SUCRE</t>
  </si>
  <si>
    <t xml:space="preserve">DIRECTOR DEL COLEGIO ALI TORO </t>
  </si>
  <si>
    <t>Ana Rodríguez</t>
  </si>
  <si>
    <t>Com. Eduardo Fernández</t>
  </si>
  <si>
    <t xml:space="preserve">No lo indicó </t>
  </si>
  <si>
    <t>FALTA COCINA, ILUMINACIÓN Y DUCHAS.</t>
  </si>
  <si>
    <t>Falla en drenaje de pocetas, tanque de agua, filtros y bombas de agua.</t>
  </si>
  <si>
    <t xml:space="preserve">Proceso de organización de los dagnificados por espacios. </t>
  </si>
  <si>
    <t>En espera de los dagnificados</t>
  </si>
  <si>
    <t xml:space="preserve">Es espera de los dagnificados </t>
  </si>
  <si>
    <t>PROF. C JOSÉ HERNÁNDEZ</t>
  </si>
  <si>
    <t xml:space="preserve">C/G JIMMY BETANCOURT </t>
  </si>
  <si>
    <t>PERSONAS POR CENSAR</t>
  </si>
  <si>
    <t xml:space="preserve">POR CENSAR </t>
  </si>
  <si>
    <t>CENSADOS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</si>
</sst>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i/>
      <sz val="10"/>
      <color theme="0"/>
      <name val="Arial"/>
      <family val="2"/>
    </font>
    <font>
      <b/>
      <i/>
      <sz val="8"/>
      <color theme="1"/>
      <name val="Arial"/>
      <family val="2"/>
    </font>
    <font>
      <i/>
      <sz val="11"/>
      <color theme="4"/>
      <name val="Calibri"/>
      <family val="2"/>
      <scheme val="minor"/>
    </font>
    <font>
      <b/>
      <sz val="10"/>
      <color rgb="FFFFFF00"/>
      <name val="Arial"/>
      <family val="2"/>
    </font>
    <font>
      <sz val="7"/>
      <color theme="1"/>
      <name val="Arial"/>
      <family val="2"/>
    </font>
    <font>
      <i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b/>
      <sz val="20"/>
      <color rgb="FFFFFF00"/>
      <name val="Arial"/>
      <family val="2"/>
    </font>
    <font>
      <b/>
      <sz val="11"/>
      <color rgb="FFFFFF00"/>
      <name val="Calibri"/>
      <family val="2"/>
      <scheme val="minor"/>
    </font>
    <font>
      <b/>
      <i/>
      <sz val="30"/>
      <color theme="4"/>
      <name val="Arial"/>
      <family val="2"/>
    </font>
    <font>
      <b/>
      <sz val="20"/>
      <color rgb="FFC00000"/>
      <name val="Arial"/>
      <family val="2"/>
    </font>
    <font>
      <b/>
      <sz val="8"/>
      <color theme="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7"/>
      <color rgb="FFC00000"/>
      <name val="Arial"/>
      <family val="2"/>
    </font>
    <font>
      <sz val="7"/>
      <color rgb="FFC00000"/>
      <name val="Arial"/>
      <family val="2"/>
    </font>
    <font>
      <sz val="8"/>
      <color rgb="FF000000"/>
      <name val="Arial"/>
      <family val="2"/>
    </font>
    <font>
      <b/>
      <sz val="20"/>
      <color theme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1" fillId="0" borderId="0" applyNumberFormat="0" applyFill="0" applyBorder="0" applyAlignment="0" applyProtection="0"/>
    <xf numFmtId="43" fontId="22" fillId="0" borderId="0" applyFont="0" applyFill="0" applyBorder="0" applyAlignment="0" applyProtection="0"/>
  </cellStyleXfs>
  <cellXfs count="158">
    <xf numFmtId="0" fontId="0" fillId="0" borderId="0" xfId="0"/>
    <xf numFmtId="0" fontId="0" fillId="0" borderId="0" xfId="0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1" fontId="4" fillId="0" borderId="10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7" fillId="0" borderId="0" xfId="0" applyFont="1"/>
    <xf numFmtId="0" fontId="0" fillId="4" borderId="0" xfId="0" applyFill="1"/>
    <xf numFmtId="0" fontId="7" fillId="4" borderId="0" xfId="0" applyFont="1" applyFill="1"/>
    <xf numFmtId="0" fontId="0" fillId="4" borderId="0" xfId="0" applyFill="1" applyAlignment="1">
      <alignment horizontal="center"/>
    </xf>
    <xf numFmtId="1" fontId="8" fillId="3" borderId="16" xfId="0" applyNumberFormat="1" applyFont="1" applyFill="1" applyBorder="1" applyAlignment="1">
      <alignment horizontal="center" vertical="center"/>
    </xf>
    <xf numFmtId="0" fontId="10" fillId="3" borderId="7" xfId="0" applyFont="1" applyFill="1" applyBorder="1"/>
    <xf numFmtId="0" fontId="10" fillId="3" borderId="11" xfId="0" applyFont="1" applyFill="1" applyBorder="1"/>
    <xf numFmtId="1" fontId="4" fillId="0" borderId="29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5" borderId="0" xfId="0" applyFill="1"/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2" fillId="4" borderId="0" xfId="0" applyFont="1" applyFill="1" applyAlignment="1">
      <alignment vertical="center"/>
    </xf>
    <xf numFmtId="1" fontId="8" fillId="3" borderId="30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/>
    <xf numFmtId="0" fontId="14" fillId="0" borderId="1" xfId="0" applyFont="1" applyBorder="1" applyAlignment="1">
      <alignment horizontal="center" vertical="center"/>
    </xf>
    <xf numFmtId="1" fontId="16" fillId="3" borderId="30" xfId="0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1" fontId="15" fillId="0" borderId="8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1" fontId="15" fillId="0" borderId="10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left" vertical="center"/>
    </xf>
    <xf numFmtId="1" fontId="15" fillId="0" borderId="29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1" fontId="15" fillId="0" borderId="12" xfId="0" applyNumberFormat="1" applyFont="1" applyBorder="1" applyAlignment="1">
      <alignment horizontal="center" vertical="center"/>
    </xf>
    <xf numFmtId="0" fontId="15" fillId="4" borderId="0" xfId="0" applyFont="1" applyFill="1"/>
    <xf numFmtId="0" fontId="15" fillId="4" borderId="0" xfId="0" applyFont="1" applyFill="1" applyAlignment="1">
      <alignment horizontal="left" vertical="center"/>
    </xf>
    <xf numFmtId="1" fontId="15" fillId="4" borderId="0" xfId="0" applyNumberFormat="1" applyFont="1" applyFill="1" applyAlignment="1">
      <alignment horizontal="center" vertical="center"/>
    </xf>
    <xf numFmtId="0" fontId="0" fillId="4" borderId="11" xfId="0" applyFill="1" applyBorder="1"/>
    <xf numFmtId="0" fontId="0" fillId="4" borderId="12" xfId="0" applyFill="1" applyBorder="1"/>
    <xf numFmtId="0" fontId="0" fillId="4" borderId="33" xfId="0" applyFill="1" applyBorder="1"/>
    <xf numFmtId="0" fontId="0" fillId="4" borderId="34" xfId="0" applyFill="1" applyBorder="1"/>
    <xf numFmtId="0" fontId="11" fillId="4" borderId="31" xfId="0" applyFont="1" applyFill="1" applyBorder="1" applyAlignment="1">
      <alignment horizontal="center" vertical="center"/>
    </xf>
    <xf numFmtId="0" fontId="17" fillId="3" borderId="32" xfId="0" applyFont="1" applyFill="1" applyBorder="1" applyAlignment="1">
      <alignment horizontal="center" vertical="center"/>
    </xf>
    <xf numFmtId="0" fontId="0" fillId="7" borderId="0" xfId="0" applyFill="1"/>
    <xf numFmtId="0" fontId="14" fillId="7" borderId="0" xfId="0" applyFont="1" applyFill="1"/>
    <xf numFmtId="0" fontId="15" fillId="7" borderId="0" xfId="0" applyFont="1" applyFill="1"/>
    <xf numFmtId="0" fontId="15" fillId="7" borderId="0" xfId="0" applyFont="1" applyFill="1" applyAlignment="1">
      <alignment horizontal="left" vertical="center"/>
    </xf>
    <xf numFmtId="1" fontId="15" fillId="7" borderId="0" xfId="0" applyNumberFormat="1" applyFont="1" applyFill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/>
    <xf numFmtId="0" fontId="0" fillId="4" borderId="0" xfId="0" applyFill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164" fontId="16" fillId="3" borderId="30" xfId="2" applyNumberFormat="1" applyFont="1" applyFill="1" applyBorder="1" applyAlignment="1">
      <alignment horizontal="center" vertical="center"/>
    </xf>
    <xf numFmtId="164" fontId="14" fillId="0" borderId="8" xfId="2" applyNumberFormat="1" applyFont="1" applyBorder="1" applyAlignment="1">
      <alignment horizontal="center" vertical="center"/>
    </xf>
    <xf numFmtId="164" fontId="14" fillId="0" borderId="10" xfId="2" applyNumberFormat="1" applyFont="1" applyBorder="1" applyAlignment="1">
      <alignment horizontal="center" vertical="center"/>
    </xf>
    <xf numFmtId="164" fontId="14" fillId="0" borderId="29" xfId="2" applyNumberFormat="1" applyFont="1" applyBorder="1" applyAlignment="1">
      <alignment horizontal="center" vertical="center"/>
    </xf>
    <xf numFmtId="164" fontId="14" fillId="0" borderId="12" xfId="2" applyNumberFormat="1" applyFon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0" fillId="9" borderId="0" xfId="0" applyFill="1"/>
    <xf numFmtId="0" fontId="23" fillId="9" borderId="0" xfId="0" applyFont="1" applyFill="1" applyAlignment="1">
      <alignment horizontal="center" vertical="center"/>
    </xf>
    <xf numFmtId="1" fontId="15" fillId="7" borderId="0" xfId="0" applyNumberFormat="1" applyFont="1" applyFill="1"/>
    <xf numFmtId="1" fontId="0" fillId="4" borderId="0" xfId="0" applyNumberFormat="1" applyFill="1"/>
    <xf numFmtId="0" fontId="19" fillId="4" borderId="0" xfId="0" applyFont="1" applyFill="1" applyAlignment="1">
      <alignment horizontal="left" vertical="center"/>
    </xf>
    <xf numFmtId="164" fontId="15" fillId="7" borderId="0" xfId="0" applyNumberFormat="1" applyFont="1" applyFill="1"/>
    <xf numFmtId="1" fontId="19" fillId="4" borderId="0" xfId="0" applyNumberFormat="1" applyFont="1" applyFill="1" applyAlignment="1">
      <alignment horizontal="left" vertical="center"/>
    </xf>
    <xf numFmtId="164" fontId="19" fillId="7" borderId="0" xfId="0" applyNumberFormat="1" applyFont="1" applyFill="1" applyAlignment="1">
      <alignment horizontal="left" vertical="center"/>
    </xf>
    <xf numFmtId="1" fontId="19" fillId="7" borderId="0" xfId="0" applyNumberFormat="1" applyFont="1" applyFill="1" applyAlignment="1">
      <alignment horizontal="center" vertical="center"/>
    </xf>
    <xf numFmtId="0" fontId="19" fillId="7" borderId="0" xfId="0" applyFont="1" applyFill="1" applyAlignment="1">
      <alignment horizontal="left" vertical="center"/>
    </xf>
    <xf numFmtId="164" fontId="27" fillId="7" borderId="0" xfId="0" applyNumberFormat="1" applyFont="1" applyFill="1" applyAlignment="1">
      <alignment horizontal="left" vertical="center"/>
    </xf>
    <xf numFmtId="1" fontId="27" fillId="7" borderId="0" xfId="0" applyNumberFormat="1" applyFont="1" applyFill="1" applyAlignment="1">
      <alignment horizontal="center" vertical="center"/>
    </xf>
    <xf numFmtId="0" fontId="0" fillId="4" borderId="34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164" fontId="14" fillId="7" borderId="0" xfId="2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7" fillId="2" borderId="18" xfId="0" applyFont="1" applyFill="1" applyBorder="1" applyAlignment="1">
      <alignment horizontal="center" vertical="center" textRotation="90"/>
    </xf>
    <xf numFmtId="0" fontId="7" fillId="2" borderId="3" xfId="0" applyFont="1" applyFill="1" applyBorder="1" applyAlignment="1">
      <alignment horizontal="center" vertical="center" textRotation="90"/>
    </xf>
    <xf numFmtId="0" fontId="7" fillId="2" borderId="5" xfId="0" applyFont="1" applyFill="1" applyBorder="1" applyAlignment="1">
      <alignment horizontal="center" vertical="center" textRotation="90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0" fontId="10" fillId="3" borderId="12" xfId="0" applyFont="1" applyFill="1" applyBorder="1" applyAlignment="1">
      <alignment horizontal="left"/>
    </xf>
    <xf numFmtId="0" fontId="10" fillId="3" borderId="28" xfId="0" applyFont="1" applyFill="1" applyBorder="1" applyAlignment="1">
      <alignment horizontal="left"/>
    </xf>
    <xf numFmtId="0" fontId="10" fillId="3" borderId="23" xfId="0" applyFont="1" applyFill="1" applyBorder="1" applyAlignment="1">
      <alignment horizontal="left"/>
    </xf>
    <xf numFmtId="0" fontId="10" fillId="3" borderId="24" xfId="0" applyFont="1" applyFill="1" applyBorder="1" applyAlignment="1">
      <alignment horizontal="left"/>
    </xf>
    <xf numFmtId="0" fontId="19" fillId="4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 wrapText="1"/>
    </xf>
    <xf numFmtId="0" fontId="9" fillId="0" borderId="3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24" fillId="8" borderId="7" xfId="0" applyFont="1" applyFill="1" applyBorder="1" applyAlignment="1">
      <alignment horizontal="left"/>
    </xf>
    <xf numFmtId="0" fontId="25" fillId="8" borderId="20" xfId="0" applyFont="1" applyFill="1" applyBorder="1" applyAlignment="1">
      <alignment horizontal="left"/>
    </xf>
    <xf numFmtId="0" fontId="25" fillId="8" borderId="8" xfId="0" applyFont="1" applyFill="1" applyBorder="1" applyAlignment="1">
      <alignment horizontal="left"/>
    </xf>
    <xf numFmtId="0" fontId="20" fillId="3" borderId="1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 wrapText="1"/>
    </xf>
    <xf numFmtId="0" fontId="21" fillId="0" borderId="21" xfId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9" fillId="0" borderId="9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center" wrapText="1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749-4750-8D98-78FD10AB9F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749-4750-8D98-78FD10AB9F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749-4750-8D98-78FD10AB9F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749-4750-8D98-78FD10AB9F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749-4750-8D98-78FD10AB9FF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749-4750-8D98-78FD10AB9FF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2749-4750-8D98-78FD10AB9FF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'TOTALES FINALES'!$C$25:$C$31</c:f>
              <c:strCache>
                <c:ptCount val="7"/>
                <c:pt idx="0">
                  <c:v>HOMBRES</c:v>
                </c:pt>
                <c:pt idx="1">
                  <c:v>MUJERES</c:v>
                </c:pt>
                <c:pt idx="2">
                  <c:v>NIÑOS</c:v>
                </c:pt>
                <c:pt idx="3">
                  <c:v>NIÑAS</c:v>
                </c:pt>
                <c:pt idx="4">
                  <c:v>ADULTOS MAYORES</c:v>
                </c:pt>
                <c:pt idx="5">
                  <c:v>ADULTAS MAYORES </c:v>
                </c:pt>
                <c:pt idx="6">
                  <c:v>PERSONAS POR CENSAR</c:v>
                </c:pt>
              </c:strCache>
            </c:strRef>
          </c:cat>
          <c:val>
            <c:numRef>
              <c:f>'TOTALES FINALES'!$D$25:$D$31</c:f>
              <c:numCache>
                <c:formatCode>_ * #,##0_ ;_ * \-#,##0_ ;_ * "-"??_ ;_ @_ </c:formatCode>
                <c:ptCount val="7"/>
                <c:pt idx="0">
                  <c:v>677</c:v>
                </c:pt>
                <c:pt idx="1">
                  <c:v>877</c:v>
                </c:pt>
                <c:pt idx="2">
                  <c:v>524</c:v>
                </c:pt>
                <c:pt idx="3">
                  <c:v>554</c:v>
                </c:pt>
                <c:pt idx="4">
                  <c:v>143</c:v>
                </c:pt>
                <c:pt idx="5">
                  <c:v>101</c:v>
                </c:pt>
                <c:pt idx="6">
                  <c:v>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9-4A1D-B54B-D401773383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1283072</xdr:colOff>
      <xdr:row>15</xdr:row>
      <xdr:rowOff>236443</xdr:rowOff>
    </xdr:from>
    <xdr:to>
      <xdr:col>12</xdr:col>
      <xdr:colOff>296955</xdr:colOff>
      <xdr:row>23</xdr:row>
      <xdr:rowOff>200584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8F2010-882C-8E13-0692-C43395354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14</xdr:row>
      <xdr:rowOff>114300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77AD6125-1E92-4F82-92C0-1F8B0971CE85}"/>
            </a:ext>
          </a:extLst>
        </xdr:cNvPr>
        <xdr:cNvSpPr>
          <a:spLocks noChangeAspect="1" noChangeArrowheads="1"/>
        </xdr:cNvSpPr>
      </xdr:nvSpPr>
      <xdr:spPr bwMode="auto">
        <a:xfrm>
          <a:off x="3429000" y="27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zwtLS1DzLN5N3M5M7?g_st=ac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C6A0-D34E-453A-82F7-642C16BAC5EA}">
  <sheetPr>
    <tabColor theme="3"/>
  </sheetPr>
  <dimension ref="A1:BT340"/>
  <sheetViews>
    <sheetView topLeftCell="A133" zoomScaleNormal="100" workbookViewId="0">
      <selection activeCell="A35" sqref="A35:XFD40"/>
    </sheetView>
  </sheetViews>
  <sheetFormatPr baseColWidth="10" defaultRowHeight="15" x14ac:dyDescent="0.25"/>
  <cols>
    <col min="1" max="1" width="10.85546875" style="9" customWidth="1"/>
    <col min="2" max="2" width="6.7109375" style="9" customWidth="1"/>
    <col min="3" max="3" width="51.85546875" customWidth="1"/>
    <col min="4" max="4" width="22.7109375" customWidth="1"/>
    <col min="5" max="5" width="10.85546875" style="9" customWidth="1"/>
    <col min="6" max="6" width="54.5703125" customWidth="1"/>
    <col min="7" max="7" width="26.140625" customWidth="1"/>
    <col min="8" max="19" width="11.42578125" style="9"/>
    <col min="20" max="20" width="11.42578125" style="60"/>
    <col min="21" max="39" width="11.42578125" style="9"/>
  </cols>
  <sheetData>
    <row r="1" spans="1:72" s="9" customFormat="1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69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</row>
    <row r="2" spans="1:72" s="9" customFormat="1" x14ac:dyDescent="0.25">
      <c r="A2" s="53"/>
      <c r="B2" s="53"/>
      <c r="C2" s="134" t="s">
        <v>58</v>
      </c>
      <c r="D2" s="134"/>
      <c r="E2" s="134"/>
      <c r="F2" s="134"/>
      <c r="G2" s="134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69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</row>
    <row r="3" spans="1:72" s="9" customFormat="1" x14ac:dyDescent="0.25">
      <c r="A3" s="53"/>
      <c r="B3" s="53"/>
      <c r="C3" s="134"/>
      <c r="D3" s="134"/>
      <c r="E3" s="134"/>
      <c r="F3" s="134"/>
      <c r="G3" s="134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69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</row>
    <row r="4" spans="1:72" s="9" customFormat="1" ht="15.75" thickBot="1" x14ac:dyDescent="0.3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69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</row>
    <row r="5" spans="1:72" s="33" customFormat="1" ht="27" customHeight="1" thickBot="1" x14ac:dyDescent="0.45">
      <c r="A5" s="54"/>
      <c r="B5" s="55"/>
      <c r="C5" s="34" t="s">
        <v>1</v>
      </c>
      <c r="D5" s="64">
        <f>+D37+D52+D67+D82+D97+D112+D127+D142</f>
        <v>3690</v>
      </c>
      <c r="E5" s="55"/>
      <c r="F5" s="34" t="s">
        <v>57</v>
      </c>
      <c r="G5" s="35">
        <f>+G37+G52+G67+G82+G97+G112+G127+G142</f>
        <v>49</v>
      </c>
      <c r="H5" s="55"/>
      <c r="I5" s="73"/>
      <c r="J5" s="55"/>
      <c r="K5" s="55"/>
      <c r="L5" s="55"/>
      <c r="M5" s="55"/>
      <c r="N5" s="55"/>
      <c r="O5" s="55"/>
      <c r="P5" s="55"/>
      <c r="Q5" s="55"/>
      <c r="R5" s="55"/>
      <c r="S5" s="55"/>
      <c r="T5" s="70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</row>
    <row r="6" spans="1:72" s="33" customFormat="1" ht="27" customHeight="1" x14ac:dyDescent="0.35">
      <c r="A6" s="55"/>
      <c r="B6" s="55"/>
      <c r="C6" s="36" t="s">
        <v>0</v>
      </c>
      <c r="D6" s="65">
        <f>+D38+D53+D68+D83+D98+D113+D128+D143</f>
        <v>1382</v>
      </c>
      <c r="E6" s="55"/>
      <c r="F6" s="36" t="s">
        <v>55</v>
      </c>
      <c r="G6" s="37">
        <f>+G38+G53+G68+G83+G98+G113+G128+G143</f>
        <v>18</v>
      </c>
      <c r="H6" s="55"/>
      <c r="I6" s="73"/>
      <c r="J6" s="55"/>
      <c r="K6" s="55"/>
      <c r="L6" s="55"/>
      <c r="M6" s="55"/>
      <c r="N6" s="55"/>
      <c r="O6" s="55"/>
      <c r="P6" s="55"/>
      <c r="Q6" s="55"/>
      <c r="R6" s="55"/>
      <c r="S6" s="55"/>
      <c r="T6" s="70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</row>
    <row r="7" spans="1:72" s="33" customFormat="1" ht="27" customHeight="1" thickBot="1" x14ac:dyDescent="0.4">
      <c r="A7" s="55"/>
      <c r="B7" s="55"/>
      <c r="C7" s="38" t="s">
        <v>2</v>
      </c>
      <c r="D7" s="66">
        <f>+D39+D54+D69+D84+D99+D114+D129+D144</f>
        <v>677</v>
      </c>
      <c r="E7" s="55"/>
      <c r="F7" s="42" t="s">
        <v>56</v>
      </c>
      <c r="G7" s="43">
        <f>+G39+G54+G69+G84+G99+G114+G129+G144</f>
        <v>31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70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</row>
    <row r="8" spans="1:72" s="33" customFormat="1" ht="27" customHeight="1" x14ac:dyDescent="0.35">
      <c r="A8" s="55"/>
      <c r="B8" s="55"/>
      <c r="C8" s="38" t="s">
        <v>3</v>
      </c>
      <c r="D8" s="66">
        <f>+D40+D55+D70+D85+D100+D115+D130+D145</f>
        <v>877</v>
      </c>
      <c r="E8" s="55"/>
      <c r="F8" s="56"/>
      <c r="G8" s="57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70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</row>
    <row r="9" spans="1:72" s="33" customFormat="1" ht="27" customHeight="1" x14ac:dyDescent="0.35">
      <c r="A9" s="55"/>
      <c r="B9" s="55"/>
      <c r="C9" s="38" t="s">
        <v>4</v>
      </c>
      <c r="D9" s="66">
        <f>+D41+D56+D71+D86+D101+D116+D131+D146</f>
        <v>524</v>
      </c>
      <c r="E9" s="55"/>
      <c r="F9" s="81">
        <f>D7+D8+D9+D10+D11+D12</f>
        <v>2876</v>
      </c>
      <c r="G9" s="82" t="s">
        <v>584</v>
      </c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70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</row>
    <row r="10" spans="1:72" s="33" customFormat="1" ht="27" customHeight="1" x14ac:dyDescent="0.35">
      <c r="A10" s="55"/>
      <c r="B10" s="55"/>
      <c r="C10" s="38" t="s">
        <v>5</v>
      </c>
      <c r="D10" s="66">
        <f t="shared" ref="D10:D16" si="0">+D42+D57+D72+D87+D102+D117+D132+D147</f>
        <v>554</v>
      </c>
      <c r="E10" s="55"/>
      <c r="F10" s="80"/>
      <c r="G10" s="79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70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</row>
    <row r="11" spans="1:72" s="33" customFormat="1" ht="27" customHeight="1" x14ac:dyDescent="0.35">
      <c r="A11" s="55"/>
      <c r="B11" s="55"/>
      <c r="C11" s="40" t="s">
        <v>6</v>
      </c>
      <c r="D11" s="67">
        <f t="shared" si="0"/>
        <v>143</v>
      </c>
      <c r="E11" s="55"/>
      <c r="F11" s="78">
        <f>D5-F9</f>
        <v>814</v>
      </c>
      <c r="G11" s="79" t="s">
        <v>583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70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</row>
    <row r="12" spans="1:72" s="33" customFormat="1" ht="27" customHeight="1" x14ac:dyDescent="0.35">
      <c r="A12" s="55"/>
      <c r="B12" s="55"/>
      <c r="C12" s="38" t="s">
        <v>7</v>
      </c>
      <c r="D12" s="66">
        <f t="shared" si="0"/>
        <v>101</v>
      </c>
      <c r="E12" s="55"/>
      <c r="F12" s="56"/>
      <c r="G12" s="57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70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</row>
    <row r="13" spans="1:72" s="33" customFormat="1" ht="27" customHeight="1" x14ac:dyDescent="0.35">
      <c r="A13" s="55"/>
      <c r="B13" s="55"/>
      <c r="C13" s="38" t="s">
        <v>49</v>
      </c>
      <c r="D13" s="66">
        <f t="shared" si="0"/>
        <v>2</v>
      </c>
      <c r="E13" s="55"/>
      <c r="F13" s="56"/>
      <c r="G13" s="57"/>
      <c r="H13" s="76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70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</row>
    <row r="14" spans="1:72" s="33" customFormat="1" ht="27" customHeight="1" x14ac:dyDescent="0.35">
      <c r="A14" s="55"/>
      <c r="B14" s="55"/>
      <c r="C14" s="38" t="s">
        <v>50</v>
      </c>
      <c r="D14" s="66">
        <f t="shared" si="0"/>
        <v>2</v>
      </c>
      <c r="E14" s="55"/>
      <c r="F14" s="56"/>
      <c r="G14" s="57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70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</row>
    <row r="15" spans="1:72" s="33" customFormat="1" ht="27" customHeight="1" x14ac:dyDescent="0.35">
      <c r="A15" s="55"/>
      <c r="B15" s="55"/>
      <c r="C15" s="38" t="s">
        <v>51</v>
      </c>
      <c r="D15" s="66">
        <f t="shared" si="0"/>
        <v>0</v>
      </c>
      <c r="E15" s="55"/>
      <c r="F15" s="56"/>
      <c r="G15" s="57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70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</row>
    <row r="16" spans="1:72" s="33" customFormat="1" ht="27" customHeight="1" thickBot="1" x14ac:dyDescent="0.4">
      <c r="A16" s="55"/>
      <c r="B16" s="55"/>
      <c r="C16" s="42" t="s">
        <v>52</v>
      </c>
      <c r="D16" s="68">
        <f t="shared" si="0"/>
        <v>0</v>
      </c>
      <c r="E16" s="55"/>
      <c r="F16" s="56"/>
      <c r="G16" s="57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70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</row>
    <row r="17" spans="3:20" s="55" customFormat="1" ht="27" customHeight="1" x14ac:dyDescent="0.35">
      <c r="C17" s="56"/>
      <c r="D17" s="85"/>
      <c r="F17" s="56"/>
      <c r="G17" s="57"/>
      <c r="T17" s="70"/>
    </row>
    <row r="18" spans="3:20" s="55" customFormat="1" ht="27" customHeight="1" x14ac:dyDescent="0.35">
      <c r="C18" s="56"/>
      <c r="D18" s="85"/>
      <c r="F18" s="56"/>
      <c r="G18" s="57"/>
      <c r="T18" s="70"/>
    </row>
    <row r="19" spans="3:20" s="55" customFormat="1" ht="27" customHeight="1" x14ac:dyDescent="0.35">
      <c r="C19" s="56"/>
      <c r="D19" s="85"/>
      <c r="F19" s="56"/>
      <c r="G19" s="57"/>
      <c r="T19" s="70"/>
    </row>
    <row r="20" spans="3:20" s="55" customFormat="1" ht="27" customHeight="1" x14ac:dyDescent="0.35">
      <c r="C20" s="56"/>
      <c r="D20" s="85"/>
      <c r="F20" s="56"/>
      <c r="G20" s="57"/>
      <c r="T20" s="70"/>
    </row>
    <row r="21" spans="3:20" s="55" customFormat="1" ht="27" customHeight="1" x14ac:dyDescent="0.35">
      <c r="C21" s="56"/>
      <c r="D21" s="85"/>
      <c r="F21" s="56"/>
      <c r="G21" s="57"/>
      <c r="T21" s="70"/>
    </row>
    <row r="22" spans="3:20" s="55" customFormat="1" ht="27" customHeight="1" x14ac:dyDescent="0.35">
      <c r="C22" s="56"/>
      <c r="D22" s="85"/>
      <c r="F22" s="56"/>
      <c r="G22" s="57"/>
      <c r="T22" s="70"/>
    </row>
    <row r="23" spans="3:20" s="55" customFormat="1" ht="27" customHeight="1" thickBot="1" x14ac:dyDescent="0.4">
      <c r="C23" s="56"/>
      <c r="D23" s="85"/>
      <c r="F23" s="56"/>
      <c r="G23" s="57"/>
      <c r="T23" s="70"/>
    </row>
    <row r="24" spans="3:20" s="55" customFormat="1" ht="27" customHeight="1" thickBot="1" x14ac:dyDescent="0.4">
      <c r="C24" s="34" t="s">
        <v>1</v>
      </c>
      <c r="D24" s="64">
        <f>D25+D26+D27+D28+D29+D30+D31</f>
        <v>3690</v>
      </c>
      <c r="F24" s="56"/>
      <c r="G24" s="57"/>
      <c r="T24" s="70"/>
    </row>
    <row r="25" spans="3:20" s="55" customFormat="1" ht="27" customHeight="1" x14ac:dyDescent="0.35">
      <c r="C25" s="38" t="s">
        <v>2</v>
      </c>
      <c r="D25" s="66">
        <v>677</v>
      </c>
      <c r="F25" s="56"/>
      <c r="G25" s="57"/>
      <c r="T25" s="70"/>
    </row>
    <row r="26" spans="3:20" s="55" customFormat="1" ht="27" customHeight="1" x14ac:dyDescent="0.35">
      <c r="C26" s="38" t="s">
        <v>3</v>
      </c>
      <c r="D26" s="66">
        <v>877</v>
      </c>
      <c r="F26" s="56"/>
      <c r="G26" s="57"/>
      <c r="T26" s="70"/>
    </row>
    <row r="27" spans="3:20" s="55" customFormat="1" ht="27" customHeight="1" x14ac:dyDescent="0.35">
      <c r="C27" s="38" t="s">
        <v>4</v>
      </c>
      <c r="D27" s="66">
        <v>524</v>
      </c>
      <c r="F27" s="56"/>
      <c r="G27" s="57"/>
      <c r="T27" s="70"/>
    </row>
    <row r="28" spans="3:20" s="55" customFormat="1" ht="27" customHeight="1" x14ac:dyDescent="0.35">
      <c r="C28" s="38" t="s">
        <v>5</v>
      </c>
      <c r="D28" s="66">
        <v>554</v>
      </c>
      <c r="F28" s="56"/>
      <c r="G28" s="57"/>
      <c r="T28" s="70"/>
    </row>
    <row r="29" spans="3:20" s="55" customFormat="1" ht="27" customHeight="1" x14ac:dyDescent="0.35">
      <c r="C29" s="40" t="s">
        <v>6</v>
      </c>
      <c r="D29" s="67">
        <v>143</v>
      </c>
      <c r="F29" s="56"/>
      <c r="G29" s="57"/>
      <c r="T29" s="70"/>
    </row>
    <row r="30" spans="3:20" s="55" customFormat="1" ht="27" customHeight="1" x14ac:dyDescent="0.35">
      <c r="C30" s="38" t="s">
        <v>7</v>
      </c>
      <c r="D30" s="66">
        <v>101</v>
      </c>
      <c r="F30" s="56"/>
      <c r="G30" s="57"/>
      <c r="T30" s="70"/>
    </row>
    <row r="31" spans="3:20" s="55" customFormat="1" ht="27" customHeight="1" x14ac:dyDescent="0.35">
      <c r="C31" s="38" t="s">
        <v>582</v>
      </c>
      <c r="D31" s="66">
        <v>814</v>
      </c>
      <c r="F31" s="56"/>
      <c r="G31" s="57"/>
      <c r="T31" s="70"/>
    </row>
    <row r="32" spans="3:20" s="55" customFormat="1" ht="27" customHeight="1" x14ac:dyDescent="0.35">
      <c r="C32" s="56"/>
      <c r="D32" s="85"/>
      <c r="F32" s="56"/>
      <c r="G32" s="57"/>
      <c r="T32" s="70"/>
    </row>
    <row r="33" spans="3:20" s="55" customFormat="1" ht="27" customHeight="1" x14ac:dyDescent="0.35">
      <c r="C33" s="56"/>
      <c r="D33" s="85"/>
      <c r="F33" s="56"/>
      <c r="G33" s="57"/>
      <c r="T33" s="70"/>
    </row>
    <row r="34" spans="3:20" s="55" customFormat="1" ht="27" customHeight="1" x14ac:dyDescent="0.35">
      <c r="C34" s="56"/>
      <c r="D34" s="85"/>
      <c r="F34" s="56"/>
      <c r="G34" s="57"/>
      <c r="T34" s="70"/>
    </row>
    <row r="35" spans="3:20" s="53" customFormat="1" ht="7.5" customHeight="1" x14ac:dyDescent="0.25">
      <c r="T35" s="69"/>
    </row>
    <row r="36" spans="3:20" s="9" customFormat="1" ht="22.5" customHeight="1" thickBot="1" x14ac:dyDescent="0.3">
      <c r="C36" s="133" t="s">
        <v>67</v>
      </c>
      <c r="D36" s="133"/>
      <c r="E36" s="133"/>
      <c r="F36" s="133"/>
      <c r="T36" s="60"/>
    </row>
    <row r="37" spans="3:20" s="9" customFormat="1" ht="27" customHeight="1" thickBot="1" x14ac:dyDescent="0.4">
      <c r="C37" s="34" t="s">
        <v>1</v>
      </c>
      <c r="D37" s="35">
        <v>486</v>
      </c>
      <c r="E37" s="44"/>
      <c r="F37" s="34" t="s">
        <v>57</v>
      </c>
      <c r="G37" s="35">
        <f>+G38</f>
        <v>5</v>
      </c>
      <c r="I37" s="18"/>
      <c r="T37" s="60"/>
    </row>
    <row r="38" spans="3:20" s="9" customFormat="1" ht="27" customHeight="1" x14ac:dyDescent="0.35">
      <c r="C38" s="36" t="s">
        <v>0</v>
      </c>
      <c r="D38" s="37">
        <v>161</v>
      </c>
      <c r="E38" s="44"/>
      <c r="F38" s="36" t="s">
        <v>55</v>
      </c>
      <c r="G38" s="37">
        <f>3+2</f>
        <v>5</v>
      </c>
      <c r="I38" s="18"/>
      <c r="T38" s="60"/>
    </row>
    <row r="39" spans="3:20" s="9" customFormat="1" ht="27" customHeight="1" thickBot="1" x14ac:dyDescent="0.4">
      <c r="C39" s="38" t="s">
        <v>2</v>
      </c>
      <c r="D39" s="39">
        <v>42</v>
      </c>
      <c r="E39" s="44"/>
      <c r="F39" s="42" t="s">
        <v>56</v>
      </c>
      <c r="G39" s="43">
        <f>+'CM YOHANA CARDOZO'!AJ37+'CM FEREICO GUZMAN'!AJ37+'CM CARLOS GAMBOA'!AJ37</f>
        <v>0</v>
      </c>
      <c r="I39" s="18"/>
      <c r="T39" s="60"/>
    </row>
    <row r="40" spans="3:20" s="9" customFormat="1" ht="27" customHeight="1" x14ac:dyDescent="0.35">
      <c r="C40" s="38" t="s">
        <v>3</v>
      </c>
      <c r="D40" s="39">
        <v>56</v>
      </c>
      <c r="E40" s="44"/>
      <c r="F40" s="45"/>
      <c r="G40" s="46"/>
      <c r="T40" s="60"/>
    </row>
    <row r="41" spans="3:20" s="9" customFormat="1" ht="27" customHeight="1" x14ac:dyDescent="0.35">
      <c r="C41" s="38" t="s">
        <v>4</v>
      </c>
      <c r="D41" s="39">
        <v>40</v>
      </c>
      <c r="E41" s="44"/>
      <c r="F41" s="45"/>
      <c r="G41" s="46"/>
      <c r="T41" s="60"/>
    </row>
    <row r="42" spans="3:20" s="9" customFormat="1" ht="27" customHeight="1" x14ac:dyDescent="0.35">
      <c r="C42" s="38" t="s">
        <v>5</v>
      </c>
      <c r="D42" s="39">
        <v>38</v>
      </c>
      <c r="E42" s="44"/>
      <c r="F42" s="75">
        <f>100+195</f>
        <v>295</v>
      </c>
      <c r="G42" s="46"/>
      <c r="T42" s="60"/>
    </row>
    <row r="43" spans="3:20" s="9" customFormat="1" ht="27" customHeight="1" x14ac:dyDescent="0.35">
      <c r="C43" s="40" t="s">
        <v>6</v>
      </c>
      <c r="D43" s="41">
        <v>5</v>
      </c>
      <c r="E43" s="44"/>
      <c r="F43" s="45" t="s">
        <v>539</v>
      </c>
      <c r="G43" s="46"/>
      <c r="T43" s="60"/>
    </row>
    <row r="44" spans="3:20" s="9" customFormat="1" ht="27" customHeight="1" x14ac:dyDescent="0.35">
      <c r="C44" s="38" t="s">
        <v>7</v>
      </c>
      <c r="D44" s="39">
        <v>10</v>
      </c>
      <c r="E44" s="44"/>
      <c r="F44" s="45"/>
      <c r="G44" s="46"/>
      <c r="T44" s="60"/>
    </row>
    <row r="45" spans="3:20" s="9" customFormat="1" ht="27" customHeight="1" x14ac:dyDescent="0.35">
      <c r="C45" s="38" t="s">
        <v>49</v>
      </c>
      <c r="D45" s="39">
        <v>0</v>
      </c>
      <c r="E45" s="44"/>
      <c r="F45" s="45"/>
      <c r="G45" s="46"/>
      <c r="T45" s="60"/>
    </row>
    <row r="46" spans="3:20" s="9" customFormat="1" ht="27" customHeight="1" x14ac:dyDescent="0.35">
      <c r="C46" s="38" t="s">
        <v>50</v>
      </c>
      <c r="D46" s="39">
        <v>0</v>
      </c>
      <c r="E46" s="44"/>
      <c r="F46" s="45"/>
      <c r="G46" s="46"/>
      <c r="T46" s="60"/>
    </row>
    <row r="47" spans="3:20" s="9" customFormat="1" ht="27" customHeight="1" x14ac:dyDescent="0.35">
      <c r="C47" s="38" t="s">
        <v>51</v>
      </c>
      <c r="D47" s="39">
        <v>0</v>
      </c>
      <c r="E47" s="44"/>
      <c r="F47" s="45"/>
      <c r="G47" s="46"/>
      <c r="T47" s="60"/>
    </row>
    <row r="48" spans="3:20" s="9" customFormat="1" ht="27" customHeight="1" thickBot="1" x14ac:dyDescent="0.4">
      <c r="C48" s="42" t="s">
        <v>52</v>
      </c>
      <c r="D48" s="43">
        <v>0</v>
      </c>
      <c r="E48" s="44"/>
      <c r="F48" s="45"/>
      <c r="G48" s="46"/>
      <c r="T48" s="60"/>
    </row>
    <row r="49" spans="1:20" s="9" customFormat="1" ht="15" customHeight="1" x14ac:dyDescent="0.25">
      <c r="T49" s="60"/>
    </row>
    <row r="50" spans="1:20" s="9" customFormat="1" ht="7.5" customHeight="1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69"/>
    </row>
    <row r="51" spans="1:20" s="9" customFormat="1" ht="22.5" customHeight="1" thickBot="1" x14ac:dyDescent="0.3">
      <c r="C51" s="133" t="s">
        <v>124</v>
      </c>
      <c r="D51" s="133"/>
      <c r="E51" s="133"/>
      <c r="F51" s="133"/>
      <c r="T51" s="60"/>
    </row>
    <row r="52" spans="1:20" s="9" customFormat="1" ht="27" customHeight="1" thickBot="1" x14ac:dyDescent="0.4">
      <c r="C52" s="34" t="s">
        <v>1</v>
      </c>
      <c r="D52" s="35">
        <v>483</v>
      </c>
      <c r="E52" s="44"/>
      <c r="F52" s="34" t="s">
        <v>57</v>
      </c>
      <c r="G52" s="35">
        <v>8</v>
      </c>
      <c r="H52" s="72">
        <v>10</v>
      </c>
      <c r="T52" s="60"/>
    </row>
    <row r="53" spans="1:20" s="9" customFormat="1" ht="27" customHeight="1" x14ac:dyDescent="0.35">
      <c r="C53" s="36" t="s">
        <v>0</v>
      </c>
      <c r="D53" s="37">
        <v>104</v>
      </c>
      <c r="E53" s="44"/>
      <c r="F53" s="36" t="s">
        <v>55</v>
      </c>
      <c r="G53" s="37">
        <v>2</v>
      </c>
      <c r="T53" s="60"/>
    </row>
    <row r="54" spans="1:20" s="9" customFormat="1" ht="27" customHeight="1" thickBot="1" x14ac:dyDescent="0.4">
      <c r="C54" s="38" t="s">
        <v>2</v>
      </c>
      <c r="D54" s="39">
        <v>124</v>
      </c>
      <c r="E54" s="44"/>
      <c r="F54" s="42" t="s">
        <v>56</v>
      </c>
      <c r="G54" s="43">
        <v>6</v>
      </c>
      <c r="T54" s="60"/>
    </row>
    <row r="55" spans="1:20" s="9" customFormat="1" ht="27" customHeight="1" x14ac:dyDescent="0.35">
      <c r="C55" s="38" t="s">
        <v>3</v>
      </c>
      <c r="D55" s="39">
        <v>121</v>
      </c>
      <c r="E55" s="44"/>
      <c r="F55" s="45"/>
      <c r="G55" s="46"/>
      <c r="T55" s="60"/>
    </row>
    <row r="56" spans="1:20" s="9" customFormat="1" ht="27" customHeight="1" x14ac:dyDescent="0.35">
      <c r="C56" s="38" t="s">
        <v>4</v>
      </c>
      <c r="D56" s="39">
        <v>54</v>
      </c>
      <c r="E56" s="44"/>
      <c r="F56" s="45"/>
      <c r="G56" s="46"/>
      <c r="T56" s="60"/>
    </row>
    <row r="57" spans="1:20" s="9" customFormat="1" ht="27" customHeight="1" x14ac:dyDescent="0.35">
      <c r="C57" s="38" t="s">
        <v>5</v>
      </c>
      <c r="D57" s="39">
        <v>74</v>
      </c>
      <c r="E57" s="44"/>
      <c r="F57" s="75">
        <v>69</v>
      </c>
      <c r="G57" s="46"/>
      <c r="T57" s="60"/>
    </row>
    <row r="58" spans="1:20" s="9" customFormat="1" ht="27" customHeight="1" x14ac:dyDescent="0.35">
      <c r="C58" s="40" t="s">
        <v>6</v>
      </c>
      <c r="D58" s="41">
        <v>13</v>
      </c>
      <c r="E58" s="44"/>
      <c r="F58" s="45" t="s">
        <v>539</v>
      </c>
      <c r="G58" s="46"/>
      <c r="T58" s="60"/>
    </row>
    <row r="59" spans="1:20" s="9" customFormat="1" ht="27" customHeight="1" x14ac:dyDescent="0.35">
      <c r="C59" s="38" t="s">
        <v>7</v>
      </c>
      <c r="D59" s="39">
        <v>28</v>
      </c>
      <c r="E59" s="44"/>
      <c r="F59" s="45"/>
      <c r="G59" s="46"/>
      <c r="T59" s="60"/>
    </row>
    <row r="60" spans="1:20" s="9" customFormat="1" ht="27" customHeight="1" x14ac:dyDescent="0.35">
      <c r="C60" s="38" t="s">
        <v>49</v>
      </c>
      <c r="D60" s="39">
        <v>0</v>
      </c>
      <c r="E60" s="44"/>
      <c r="F60" s="45"/>
      <c r="G60" s="46"/>
      <c r="T60" s="60"/>
    </row>
    <row r="61" spans="1:20" s="9" customFormat="1" ht="27" customHeight="1" x14ac:dyDescent="0.35">
      <c r="C61" s="38" t="s">
        <v>50</v>
      </c>
      <c r="D61" s="39">
        <v>0</v>
      </c>
      <c r="E61" s="44"/>
      <c r="F61" s="45"/>
      <c r="G61" s="46"/>
      <c r="T61" s="60"/>
    </row>
    <row r="62" spans="1:20" s="9" customFormat="1" ht="27" customHeight="1" x14ac:dyDescent="0.35">
      <c r="C62" s="38" t="s">
        <v>51</v>
      </c>
      <c r="D62" s="39">
        <v>0</v>
      </c>
      <c r="E62" s="44"/>
      <c r="F62" s="45"/>
      <c r="G62" s="46"/>
      <c r="T62" s="60"/>
    </row>
    <row r="63" spans="1:20" s="9" customFormat="1" ht="27" customHeight="1" thickBot="1" x14ac:dyDescent="0.4">
      <c r="C63" s="42" t="s">
        <v>52</v>
      </c>
      <c r="D63" s="43">
        <v>0</v>
      </c>
      <c r="E63" s="44"/>
      <c r="F63" s="45"/>
      <c r="G63" s="46"/>
      <c r="T63" s="60"/>
    </row>
    <row r="64" spans="1:20" s="9" customFormat="1" ht="15" customHeight="1" x14ac:dyDescent="0.25">
      <c r="T64" s="60"/>
    </row>
    <row r="65" spans="1:20" s="9" customFormat="1" ht="7.5" customHeight="1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69"/>
    </row>
    <row r="66" spans="1:20" s="9" customFormat="1" ht="22.5" customHeight="1" thickBot="1" x14ac:dyDescent="0.3">
      <c r="C66" s="133" t="s">
        <v>199</v>
      </c>
      <c r="D66" s="133"/>
      <c r="E66" s="133"/>
      <c r="F66" s="133"/>
      <c r="T66" s="60"/>
    </row>
    <row r="67" spans="1:20" s="9" customFormat="1" ht="27" customHeight="1" thickBot="1" x14ac:dyDescent="0.4">
      <c r="C67" s="34" t="s">
        <v>1</v>
      </c>
      <c r="D67" s="35">
        <v>627</v>
      </c>
      <c r="E67" s="44"/>
      <c r="F67" s="34" t="s">
        <v>57</v>
      </c>
      <c r="G67" s="35">
        <v>6</v>
      </c>
      <c r="I67" s="71"/>
      <c r="T67" s="60"/>
    </row>
    <row r="68" spans="1:20" s="9" customFormat="1" ht="27" customHeight="1" x14ac:dyDescent="0.35">
      <c r="C68" s="36" t="s">
        <v>0</v>
      </c>
      <c r="D68" s="37">
        <v>319</v>
      </c>
      <c r="E68" s="44"/>
      <c r="F68" s="36" t="s">
        <v>55</v>
      </c>
      <c r="G68" s="37">
        <v>2</v>
      </c>
      <c r="I68" s="71"/>
      <c r="T68" s="60"/>
    </row>
    <row r="69" spans="1:20" s="9" customFormat="1" ht="27" customHeight="1" thickBot="1" x14ac:dyDescent="0.4">
      <c r="C69" s="38" t="s">
        <v>2</v>
      </c>
      <c r="D69" s="39">
        <v>137</v>
      </c>
      <c r="E69" s="44"/>
      <c r="F69" s="42" t="s">
        <v>56</v>
      </c>
      <c r="G69" s="43">
        <v>4</v>
      </c>
      <c r="I69" s="71"/>
      <c r="T69" s="60"/>
    </row>
    <row r="70" spans="1:20" s="9" customFormat="1" ht="27" customHeight="1" x14ac:dyDescent="0.35">
      <c r="C70" s="38" t="s">
        <v>3</v>
      </c>
      <c r="D70" s="39">
        <v>213</v>
      </c>
      <c r="E70" s="44"/>
      <c r="F70" s="45"/>
      <c r="G70" s="46"/>
      <c r="I70" s="71"/>
      <c r="T70" s="60"/>
    </row>
    <row r="71" spans="1:20" s="9" customFormat="1" ht="27" customHeight="1" x14ac:dyDescent="0.35">
      <c r="C71" s="38" t="s">
        <v>4</v>
      </c>
      <c r="D71" s="39">
        <v>113</v>
      </c>
      <c r="E71" s="44"/>
      <c r="F71" s="45"/>
      <c r="G71" s="46"/>
      <c r="T71" s="60"/>
    </row>
    <row r="72" spans="1:20" s="9" customFormat="1" ht="27" customHeight="1" x14ac:dyDescent="0.35">
      <c r="C72" s="38" t="s">
        <v>5</v>
      </c>
      <c r="D72" s="39">
        <v>114</v>
      </c>
      <c r="E72" s="44"/>
      <c r="F72" s="45"/>
      <c r="G72" s="46"/>
      <c r="T72" s="60"/>
    </row>
    <row r="73" spans="1:20" s="9" customFormat="1" ht="27" customHeight="1" x14ac:dyDescent="0.35">
      <c r="C73" s="40" t="s">
        <v>6</v>
      </c>
      <c r="D73" s="41">
        <v>12</v>
      </c>
      <c r="E73" s="44"/>
      <c r="F73" s="45"/>
      <c r="G73" s="46"/>
      <c r="T73" s="60"/>
    </row>
    <row r="74" spans="1:20" s="9" customFormat="1" ht="27" customHeight="1" x14ac:dyDescent="0.35">
      <c r="C74" s="38" t="s">
        <v>7</v>
      </c>
      <c r="D74" s="39">
        <v>38</v>
      </c>
      <c r="E74" s="44"/>
      <c r="F74" s="45"/>
      <c r="G74" s="46"/>
      <c r="T74" s="60"/>
    </row>
    <row r="75" spans="1:20" s="9" customFormat="1" ht="27" customHeight="1" x14ac:dyDescent="0.35">
      <c r="C75" s="38" t="s">
        <v>49</v>
      </c>
      <c r="D75" s="39">
        <v>0</v>
      </c>
      <c r="E75" s="44"/>
      <c r="F75" s="45"/>
      <c r="G75" s="46"/>
      <c r="T75" s="60"/>
    </row>
    <row r="76" spans="1:20" s="9" customFormat="1" ht="27" customHeight="1" x14ac:dyDescent="0.35">
      <c r="C76" s="38" t="s">
        <v>50</v>
      </c>
      <c r="D76" s="39">
        <v>0</v>
      </c>
      <c r="E76" s="44"/>
      <c r="F76" s="45"/>
      <c r="G76" s="46"/>
      <c r="T76" s="60"/>
    </row>
    <row r="77" spans="1:20" s="9" customFormat="1" ht="27" customHeight="1" x14ac:dyDescent="0.35">
      <c r="C77" s="38" t="s">
        <v>51</v>
      </c>
      <c r="D77" s="39">
        <v>0</v>
      </c>
      <c r="E77" s="44"/>
      <c r="F77" s="45"/>
      <c r="G77" s="46"/>
      <c r="T77" s="60"/>
    </row>
    <row r="78" spans="1:20" s="9" customFormat="1" ht="27" customHeight="1" thickBot="1" x14ac:dyDescent="0.4">
      <c r="C78" s="42" t="s">
        <v>52</v>
      </c>
      <c r="D78" s="43">
        <v>0</v>
      </c>
      <c r="E78" s="44"/>
      <c r="F78" s="45"/>
      <c r="G78" s="46"/>
      <c r="T78" s="60"/>
    </row>
    <row r="79" spans="1:20" s="9" customFormat="1" ht="15" customHeight="1" x14ac:dyDescent="0.25">
      <c r="T79" s="60"/>
    </row>
    <row r="80" spans="1:20" s="9" customFormat="1" ht="7.5" customHeight="1" x14ac:dyDescent="0.2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69"/>
    </row>
    <row r="81" spans="1:20" s="9" customFormat="1" ht="22.5" customHeight="1" thickBot="1" x14ac:dyDescent="0.3">
      <c r="C81" s="133" t="s">
        <v>271</v>
      </c>
      <c r="D81" s="133"/>
      <c r="E81" s="133"/>
      <c r="F81" s="133"/>
      <c r="T81" s="60"/>
    </row>
    <row r="82" spans="1:20" s="9" customFormat="1" ht="27" customHeight="1" thickBot="1" x14ac:dyDescent="0.4">
      <c r="C82" s="34" t="s">
        <v>1</v>
      </c>
      <c r="D82" s="35">
        <v>287</v>
      </c>
      <c r="E82" s="44"/>
      <c r="F82" s="34" t="s">
        <v>57</v>
      </c>
      <c r="G82" s="35">
        <f>G83+G84</f>
        <v>4</v>
      </c>
      <c r="I82" s="18"/>
      <c r="T82" s="60"/>
    </row>
    <row r="83" spans="1:20" s="9" customFormat="1" ht="27" customHeight="1" x14ac:dyDescent="0.35">
      <c r="C83" s="36" t="s">
        <v>0</v>
      </c>
      <c r="D83" s="37">
        <v>19</v>
      </c>
      <c r="E83" s="44"/>
      <c r="F83" s="36" t="s">
        <v>55</v>
      </c>
      <c r="G83" s="37">
        <v>3</v>
      </c>
      <c r="I83" s="18"/>
      <c r="T83" s="60"/>
    </row>
    <row r="84" spans="1:20" s="9" customFormat="1" ht="27" customHeight="1" thickBot="1" x14ac:dyDescent="0.4">
      <c r="C84" s="38" t="s">
        <v>2</v>
      </c>
      <c r="D84" s="39">
        <v>12</v>
      </c>
      <c r="E84" s="44"/>
      <c r="F84" s="42" t="s">
        <v>56</v>
      </c>
      <c r="G84" s="43">
        <v>1</v>
      </c>
      <c r="I84" s="18"/>
      <c r="T84" s="60"/>
    </row>
    <row r="85" spans="1:20" s="9" customFormat="1" ht="27" customHeight="1" x14ac:dyDescent="0.35">
      <c r="C85" s="38" t="s">
        <v>3</v>
      </c>
      <c r="D85" s="39">
        <v>25</v>
      </c>
      <c r="E85" s="44"/>
      <c r="F85" s="45"/>
      <c r="G85" s="46"/>
      <c r="T85" s="60"/>
    </row>
    <row r="86" spans="1:20" s="9" customFormat="1" ht="27" customHeight="1" x14ac:dyDescent="0.35">
      <c r="C86" s="38" t="s">
        <v>4</v>
      </c>
      <c r="D86" s="39">
        <v>7</v>
      </c>
      <c r="E86" s="44"/>
      <c r="F86" s="45"/>
      <c r="G86" s="46"/>
      <c r="T86" s="60"/>
    </row>
    <row r="87" spans="1:20" s="9" customFormat="1" ht="27" customHeight="1" x14ac:dyDescent="0.35">
      <c r="C87" s="38" t="s">
        <v>5</v>
      </c>
      <c r="D87" s="39">
        <v>11</v>
      </c>
      <c r="E87" s="44"/>
      <c r="F87" s="75">
        <v>232</v>
      </c>
      <c r="G87" s="46"/>
      <c r="T87" s="60"/>
    </row>
    <row r="88" spans="1:20" s="9" customFormat="1" ht="27" customHeight="1" x14ac:dyDescent="0.35">
      <c r="C88" s="40" t="s">
        <v>6</v>
      </c>
      <c r="D88" s="41">
        <v>0</v>
      </c>
      <c r="E88" s="44"/>
      <c r="F88" s="45" t="s">
        <v>539</v>
      </c>
      <c r="G88" s="46"/>
      <c r="T88" s="60"/>
    </row>
    <row r="89" spans="1:20" s="9" customFormat="1" ht="27" customHeight="1" x14ac:dyDescent="0.35">
      <c r="C89" s="38" t="s">
        <v>7</v>
      </c>
      <c r="D89" s="39">
        <v>0</v>
      </c>
      <c r="E89" s="44"/>
      <c r="F89" s="45"/>
      <c r="G89" s="46"/>
      <c r="T89" s="60"/>
    </row>
    <row r="90" spans="1:20" s="9" customFormat="1" ht="27" customHeight="1" x14ac:dyDescent="0.35">
      <c r="C90" s="38" t="s">
        <v>49</v>
      </c>
      <c r="D90" s="39">
        <v>2</v>
      </c>
      <c r="E90" s="44"/>
      <c r="F90" s="45"/>
      <c r="G90" s="46"/>
      <c r="T90" s="60"/>
    </row>
    <row r="91" spans="1:20" s="9" customFormat="1" ht="27" customHeight="1" x14ac:dyDescent="0.35">
      <c r="C91" s="38" t="s">
        <v>50</v>
      </c>
      <c r="D91" s="39">
        <v>0</v>
      </c>
      <c r="E91" s="44"/>
      <c r="F91" s="45"/>
      <c r="G91" s="46"/>
      <c r="T91" s="60"/>
    </row>
    <row r="92" spans="1:20" s="9" customFormat="1" ht="27" customHeight="1" x14ac:dyDescent="0.35">
      <c r="C92" s="38" t="s">
        <v>51</v>
      </c>
      <c r="D92" s="39">
        <v>0</v>
      </c>
      <c r="E92" s="44"/>
      <c r="F92" s="45"/>
      <c r="G92" s="46"/>
      <c r="T92" s="60"/>
    </row>
    <row r="93" spans="1:20" s="9" customFormat="1" ht="27" customHeight="1" thickBot="1" x14ac:dyDescent="0.4">
      <c r="C93" s="42" t="s">
        <v>52</v>
      </c>
      <c r="D93" s="43">
        <v>0</v>
      </c>
      <c r="E93" s="44"/>
      <c r="F93" s="45"/>
      <c r="G93" s="46"/>
      <c r="T93" s="60"/>
    </row>
    <row r="94" spans="1:20" s="9" customFormat="1" ht="15" customHeight="1" x14ac:dyDescent="0.25">
      <c r="T94" s="60"/>
    </row>
    <row r="95" spans="1:20" s="9" customFormat="1" ht="7.5" customHeight="1" x14ac:dyDescent="0.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69"/>
    </row>
    <row r="96" spans="1:20" s="9" customFormat="1" ht="22.5" customHeight="1" thickBot="1" x14ac:dyDescent="0.3">
      <c r="C96" s="133" t="s">
        <v>392</v>
      </c>
      <c r="D96" s="133"/>
      <c r="E96" s="133"/>
      <c r="F96" s="133"/>
      <c r="T96" s="60"/>
    </row>
    <row r="97" spans="1:20" s="9" customFormat="1" ht="27" customHeight="1" thickBot="1" x14ac:dyDescent="0.4">
      <c r="C97" s="34" t="s">
        <v>1</v>
      </c>
      <c r="D97" s="35">
        <f>'CM YOHANA CARDOZO'!AJ81+'CM FEREICO GUZMAN'!AJ81+'CM CARLOS GAMBOA'!AJ81</f>
        <v>0</v>
      </c>
      <c r="E97" s="44"/>
      <c r="F97" s="34" t="s">
        <v>57</v>
      </c>
      <c r="G97" s="35">
        <v>7</v>
      </c>
      <c r="I97" s="71"/>
      <c r="T97" s="60"/>
    </row>
    <row r="98" spans="1:20" s="9" customFormat="1" ht="27" customHeight="1" x14ac:dyDescent="0.35">
      <c r="C98" s="36" t="s">
        <v>0</v>
      </c>
      <c r="D98" s="37">
        <f>'CM YOHANA CARDOZO'!AJ82+'CM FEREICO GUZMAN'!AJ82+'CM CARLOS GAMBOA'!AJ82</f>
        <v>0</v>
      </c>
      <c r="E98" s="44"/>
      <c r="F98" s="36" t="s">
        <v>55</v>
      </c>
      <c r="G98" s="37">
        <f>+'CM YOHANA CARDOZO'!AJ97+'CM FEREICO GUZMAN'!AJ97+'CM CARLOS GAMBOA'!AJ97</f>
        <v>0</v>
      </c>
      <c r="I98" s="71"/>
      <c r="T98" s="60"/>
    </row>
    <row r="99" spans="1:20" s="9" customFormat="1" ht="27" customHeight="1" thickBot="1" x14ac:dyDescent="0.4">
      <c r="C99" s="38" t="s">
        <v>2</v>
      </c>
      <c r="D99" s="39">
        <f>'CM YOHANA CARDOZO'!AJ83+'CM FEREICO GUZMAN'!AJ83+'CM CARLOS GAMBOA'!AJ83</f>
        <v>0</v>
      </c>
      <c r="E99" s="44"/>
      <c r="F99" s="42" t="s">
        <v>56</v>
      </c>
      <c r="G99" s="43">
        <v>7</v>
      </c>
      <c r="I99" s="71"/>
      <c r="T99" s="60"/>
    </row>
    <row r="100" spans="1:20" s="9" customFormat="1" ht="27" customHeight="1" x14ac:dyDescent="0.35">
      <c r="C100" s="38" t="s">
        <v>3</v>
      </c>
      <c r="D100" s="39">
        <f>'CM YOHANA CARDOZO'!AJ84+'CM FEREICO GUZMAN'!AJ84+'CM CARLOS GAMBOA'!AJ84</f>
        <v>0</v>
      </c>
      <c r="E100" s="44"/>
      <c r="F100" s="45"/>
      <c r="G100" s="46"/>
      <c r="T100" s="60"/>
    </row>
    <row r="101" spans="1:20" s="9" customFormat="1" ht="27" customHeight="1" x14ac:dyDescent="0.35">
      <c r="C101" s="38" t="s">
        <v>4</v>
      </c>
      <c r="D101" s="39">
        <f>+'CM YOHANA CARDOZO'!AJ85+'CM FEREICO GUZMAN'!AJ85+'CM CARLOS GAMBOA'!AJ85</f>
        <v>0</v>
      </c>
      <c r="E101" s="44"/>
      <c r="F101" s="45"/>
      <c r="G101" s="46"/>
      <c r="T101" s="60"/>
    </row>
    <row r="102" spans="1:20" s="9" customFormat="1" ht="27" customHeight="1" x14ac:dyDescent="0.35">
      <c r="C102" s="38" t="s">
        <v>5</v>
      </c>
      <c r="D102" s="39">
        <f>+'CM YOHANA CARDOZO'!AJ86+'CM FEREICO GUZMAN'!AJ86+'CM CARLOS GAMBOA'!AJ86</f>
        <v>0</v>
      </c>
      <c r="E102" s="44"/>
      <c r="F102" s="45"/>
      <c r="G102" s="46"/>
      <c r="T102" s="60"/>
    </row>
    <row r="103" spans="1:20" s="9" customFormat="1" ht="27" customHeight="1" x14ac:dyDescent="0.35">
      <c r="C103" s="40" t="s">
        <v>6</v>
      </c>
      <c r="D103" s="41">
        <f>+'CM YOHANA CARDOZO'!AJ87+'CM FEREICO GUZMAN'!AJ87+'CM CARLOS GAMBOA'!AJ87</f>
        <v>0</v>
      </c>
      <c r="E103" s="44"/>
      <c r="F103" s="45"/>
      <c r="G103" s="46"/>
      <c r="T103" s="60"/>
    </row>
    <row r="104" spans="1:20" s="9" customFormat="1" ht="27" customHeight="1" x14ac:dyDescent="0.35">
      <c r="C104" s="38" t="s">
        <v>7</v>
      </c>
      <c r="D104" s="39">
        <f>+'CM YOHANA CARDOZO'!AJ88+'CM FEREICO GUZMAN'!AJ88+'CM CARLOS GAMBOA'!AJ88</f>
        <v>0</v>
      </c>
      <c r="E104" s="44"/>
      <c r="F104" s="45"/>
      <c r="G104" s="46"/>
      <c r="T104" s="60"/>
    </row>
    <row r="105" spans="1:20" s="9" customFormat="1" ht="27" customHeight="1" x14ac:dyDescent="0.35">
      <c r="C105" s="38" t="s">
        <v>49</v>
      </c>
      <c r="D105" s="39">
        <f>+'CM YOHANA CARDOZO'!AJ89+'CM FEREICO GUZMAN'!AJ89+'CM CARLOS GAMBOA'!AJ89</f>
        <v>0</v>
      </c>
      <c r="E105" s="44"/>
      <c r="F105" s="45"/>
      <c r="G105" s="46"/>
      <c r="T105" s="60"/>
    </row>
    <row r="106" spans="1:20" s="9" customFormat="1" ht="27" customHeight="1" x14ac:dyDescent="0.35">
      <c r="C106" s="38" t="s">
        <v>50</v>
      </c>
      <c r="D106" s="39">
        <f>+'CM YOHANA CARDOZO'!AJ90+'CM FEREICO GUZMAN'!AJ90+'CM CARLOS GAMBOA'!AJ90</f>
        <v>0</v>
      </c>
      <c r="E106" s="44"/>
      <c r="F106" s="45"/>
      <c r="G106" s="46"/>
      <c r="T106" s="60"/>
    </row>
    <row r="107" spans="1:20" s="9" customFormat="1" ht="27" customHeight="1" x14ac:dyDescent="0.35">
      <c r="C107" s="38" t="s">
        <v>51</v>
      </c>
      <c r="D107" s="39">
        <f>+'CM YOHANA CARDOZO'!AJ91+'CM FEREICO GUZMAN'!AJ91+'CM CARLOS GAMBOA'!AJ91</f>
        <v>0</v>
      </c>
      <c r="E107" s="44"/>
      <c r="F107" s="45"/>
      <c r="G107" s="46"/>
      <c r="T107" s="60"/>
    </row>
    <row r="108" spans="1:20" s="9" customFormat="1" ht="27" customHeight="1" thickBot="1" x14ac:dyDescent="0.4">
      <c r="C108" s="42" t="s">
        <v>52</v>
      </c>
      <c r="D108" s="43">
        <f>+'CM YOHANA CARDOZO'!AJ92+'CM FEREICO GUZMAN'!AJ92+'CM CARLOS GAMBOA'!AJ92</f>
        <v>0</v>
      </c>
      <c r="E108" s="44"/>
      <c r="F108" s="45"/>
      <c r="G108" s="46"/>
      <c r="T108" s="60"/>
    </row>
    <row r="109" spans="1:20" s="9" customFormat="1" ht="15" customHeight="1" x14ac:dyDescent="0.25">
      <c r="T109" s="60"/>
    </row>
    <row r="110" spans="1:20" s="9" customFormat="1" ht="16.5" customHeight="1" x14ac:dyDescent="0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69"/>
    </row>
    <row r="111" spans="1:20" s="9" customFormat="1" ht="22.5" customHeight="1" thickBot="1" x14ac:dyDescent="0.3">
      <c r="C111" s="133" t="s">
        <v>393</v>
      </c>
      <c r="D111" s="133"/>
      <c r="E111" s="133"/>
      <c r="F111" s="133"/>
      <c r="T111" s="60"/>
    </row>
    <row r="112" spans="1:20" s="9" customFormat="1" ht="27" customHeight="1" thickBot="1" x14ac:dyDescent="0.4">
      <c r="C112" s="34" t="s">
        <v>1</v>
      </c>
      <c r="D112" s="35">
        <v>819</v>
      </c>
      <c r="E112" s="44"/>
      <c r="F112" s="34" t="s">
        <v>57</v>
      </c>
      <c r="G112" s="35">
        <v>6</v>
      </c>
      <c r="I112" s="18"/>
      <c r="T112" s="60"/>
    </row>
    <row r="113" spans="1:20" s="9" customFormat="1" ht="27" customHeight="1" x14ac:dyDescent="0.35">
      <c r="C113" s="36" t="s">
        <v>0</v>
      </c>
      <c r="D113" s="37">
        <v>456</v>
      </c>
      <c r="E113" s="44"/>
      <c r="F113" s="36" t="s">
        <v>55</v>
      </c>
      <c r="G113" s="37">
        <v>3</v>
      </c>
      <c r="I113" s="18"/>
      <c r="T113" s="60"/>
    </row>
    <row r="114" spans="1:20" s="9" customFormat="1" ht="27" customHeight="1" thickBot="1" x14ac:dyDescent="0.4">
      <c r="C114" s="38" t="s">
        <v>2</v>
      </c>
      <c r="D114" s="39">
        <v>132</v>
      </c>
      <c r="E114" s="44"/>
      <c r="F114" s="42" t="s">
        <v>56</v>
      </c>
      <c r="G114" s="43">
        <v>3</v>
      </c>
      <c r="I114" s="18"/>
      <c r="T114" s="60"/>
    </row>
    <row r="115" spans="1:20" s="9" customFormat="1" ht="27" customHeight="1" x14ac:dyDescent="0.35">
      <c r="C115" s="38" t="s">
        <v>3</v>
      </c>
      <c r="D115" s="39">
        <v>149</v>
      </c>
      <c r="E115" s="44"/>
      <c r="F115" s="45"/>
      <c r="G115" s="46"/>
      <c r="T115" s="60"/>
    </row>
    <row r="116" spans="1:20" s="9" customFormat="1" ht="27" customHeight="1" x14ac:dyDescent="0.35">
      <c r="C116" s="38" t="s">
        <v>4</v>
      </c>
      <c r="D116" s="39">
        <v>118</v>
      </c>
      <c r="E116" s="44"/>
      <c r="F116" s="45"/>
      <c r="G116" s="46"/>
      <c r="H116" s="74"/>
      <c r="T116" s="60"/>
    </row>
    <row r="117" spans="1:20" s="9" customFormat="1" ht="27" customHeight="1" x14ac:dyDescent="0.35">
      <c r="C117" s="38" t="s">
        <v>5</v>
      </c>
      <c r="D117" s="39">
        <v>101</v>
      </c>
      <c r="E117" s="44"/>
      <c r="F117" s="45"/>
      <c r="G117" s="46"/>
      <c r="T117" s="60"/>
    </row>
    <row r="118" spans="1:20" s="9" customFormat="1" ht="27" customHeight="1" x14ac:dyDescent="0.35">
      <c r="C118" s="40" t="s">
        <v>6</v>
      </c>
      <c r="D118" s="41">
        <v>96</v>
      </c>
      <c r="E118" s="44"/>
      <c r="F118" s="77">
        <v>218</v>
      </c>
      <c r="G118" s="46"/>
      <c r="T118" s="60"/>
    </row>
    <row r="119" spans="1:20" s="9" customFormat="1" ht="27" customHeight="1" x14ac:dyDescent="0.35">
      <c r="C119" s="38" t="s">
        <v>7</v>
      </c>
      <c r="D119" s="39">
        <v>5</v>
      </c>
      <c r="E119" s="44"/>
      <c r="F119" s="45" t="s">
        <v>539</v>
      </c>
      <c r="G119" s="46"/>
      <c r="T119" s="60"/>
    </row>
    <row r="120" spans="1:20" s="9" customFormat="1" ht="27" customHeight="1" x14ac:dyDescent="0.35">
      <c r="C120" s="38" t="s">
        <v>49</v>
      </c>
      <c r="D120" s="39">
        <v>0</v>
      </c>
      <c r="E120" s="44"/>
      <c r="F120" s="45"/>
      <c r="G120" s="46"/>
      <c r="T120" s="60"/>
    </row>
    <row r="121" spans="1:20" s="9" customFormat="1" ht="27" customHeight="1" x14ac:dyDescent="0.35">
      <c r="C121" s="38" t="s">
        <v>50</v>
      </c>
      <c r="D121" s="39">
        <v>2</v>
      </c>
      <c r="E121" s="44"/>
      <c r="F121" s="45"/>
      <c r="G121" s="46"/>
      <c r="T121" s="60"/>
    </row>
    <row r="122" spans="1:20" s="9" customFormat="1" ht="27" customHeight="1" x14ac:dyDescent="0.35">
      <c r="C122" s="38" t="s">
        <v>51</v>
      </c>
      <c r="D122" s="39">
        <v>0</v>
      </c>
      <c r="E122" s="44"/>
      <c r="F122" s="45"/>
      <c r="G122" s="46"/>
      <c r="T122" s="60"/>
    </row>
    <row r="123" spans="1:20" s="9" customFormat="1" ht="27" customHeight="1" thickBot="1" x14ac:dyDescent="0.4">
      <c r="C123" s="42" t="s">
        <v>52</v>
      </c>
      <c r="D123" s="43">
        <v>0</v>
      </c>
      <c r="E123" s="44"/>
      <c r="F123" s="45"/>
      <c r="G123" s="46"/>
      <c r="T123" s="60"/>
    </row>
    <row r="124" spans="1:20" s="9" customFormat="1" ht="18" customHeight="1" x14ac:dyDescent="0.25">
      <c r="T124" s="60"/>
    </row>
    <row r="125" spans="1:20" s="9" customFormat="1" ht="16.5" customHeight="1" x14ac:dyDescent="0.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69"/>
    </row>
    <row r="126" spans="1:20" s="9" customFormat="1" ht="27" customHeight="1" thickBot="1" x14ac:dyDescent="0.3">
      <c r="C126" s="133" t="s">
        <v>508</v>
      </c>
      <c r="D126" s="133"/>
      <c r="E126" s="133"/>
      <c r="F126" s="133"/>
      <c r="T126" s="60"/>
    </row>
    <row r="127" spans="1:20" s="9" customFormat="1" ht="27" customHeight="1" thickBot="1" x14ac:dyDescent="0.4">
      <c r="C127" s="34" t="s">
        <v>1</v>
      </c>
      <c r="D127" s="35">
        <v>107</v>
      </c>
      <c r="E127" s="44"/>
      <c r="F127" s="34" t="s">
        <v>57</v>
      </c>
      <c r="G127" s="35">
        <v>6</v>
      </c>
      <c r="I127" s="71"/>
      <c r="T127" s="60"/>
    </row>
    <row r="128" spans="1:20" s="9" customFormat="1" ht="27" customHeight="1" x14ac:dyDescent="0.35">
      <c r="C128" s="36" t="s">
        <v>0</v>
      </c>
      <c r="D128" s="37">
        <v>43</v>
      </c>
      <c r="E128" s="44"/>
      <c r="F128" s="36" t="s">
        <v>55</v>
      </c>
      <c r="G128" s="37">
        <v>2</v>
      </c>
      <c r="I128" s="71"/>
      <c r="T128" s="60"/>
    </row>
    <row r="129" spans="1:20" s="9" customFormat="1" ht="27" customHeight="1" thickBot="1" x14ac:dyDescent="0.4">
      <c r="C129" s="38" t="s">
        <v>2</v>
      </c>
      <c r="D129" s="39">
        <v>26</v>
      </c>
      <c r="E129" s="44"/>
      <c r="F129" s="42" t="s">
        <v>56</v>
      </c>
      <c r="G129" s="43">
        <v>4</v>
      </c>
      <c r="I129" s="71"/>
      <c r="T129" s="60"/>
    </row>
    <row r="130" spans="1:20" s="9" customFormat="1" ht="27" customHeight="1" x14ac:dyDescent="0.35">
      <c r="C130" s="38" t="s">
        <v>3</v>
      </c>
      <c r="D130" s="39">
        <v>28</v>
      </c>
      <c r="E130" s="44"/>
      <c r="F130" s="45"/>
      <c r="G130" s="46"/>
      <c r="T130" s="60"/>
    </row>
    <row r="131" spans="1:20" s="9" customFormat="1" ht="27" customHeight="1" x14ac:dyDescent="0.35">
      <c r="C131" s="38" t="s">
        <v>4</v>
      </c>
      <c r="D131" s="39">
        <v>21</v>
      </c>
      <c r="E131" s="44"/>
      <c r="F131" s="45"/>
      <c r="G131" s="46"/>
      <c r="T131" s="60"/>
    </row>
    <row r="132" spans="1:20" s="9" customFormat="1" ht="27" customHeight="1" x14ac:dyDescent="0.35">
      <c r="C132" s="38" t="s">
        <v>5</v>
      </c>
      <c r="D132" s="39">
        <v>22</v>
      </c>
      <c r="E132" s="44"/>
      <c r="F132" s="45"/>
      <c r="G132" s="46"/>
      <c r="T132" s="60"/>
    </row>
    <row r="133" spans="1:20" s="9" customFormat="1" ht="27" customHeight="1" x14ac:dyDescent="0.35">
      <c r="C133" s="40" t="s">
        <v>6</v>
      </c>
      <c r="D133" s="41">
        <v>6</v>
      </c>
      <c r="E133" s="44"/>
      <c r="F133" s="45"/>
      <c r="G133" s="46"/>
      <c r="T133" s="60"/>
    </row>
    <row r="134" spans="1:20" s="9" customFormat="1" ht="27" customHeight="1" x14ac:dyDescent="0.35">
      <c r="C134" s="38" t="s">
        <v>7</v>
      </c>
      <c r="D134" s="39">
        <v>4</v>
      </c>
      <c r="E134" s="44"/>
      <c r="F134" s="45"/>
      <c r="G134" s="46"/>
      <c r="T134" s="60"/>
    </row>
    <row r="135" spans="1:20" s="9" customFormat="1" ht="27" customHeight="1" x14ac:dyDescent="0.35">
      <c r="C135" s="38" t="s">
        <v>49</v>
      </c>
      <c r="D135" s="39">
        <v>0</v>
      </c>
      <c r="E135" s="44"/>
      <c r="F135" s="45"/>
      <c r="G135" s="46"/>
      <c r="T135" s="60"/>
    </row>
    <row r="136" spans="1:20" s="9" customFormat="1" ht="27" customHeight="1" x14ac:dyDescent="0.35">
      <c r="C136" s="38" t="s">
        <v>50</v>
      </c>
      <c r="D136" s="39">
        <v>0</v>
      </c>
      <c r="E136" s="44"/>
      <c r="F136" s="45"/>
      <c r="G136" s="46"/>
      <c r="T136" s="60"/>
    </row>
    <row r="137" spans="1:20" s="9" customFormat="1" ht="27" customHeight="1" x14ac:dyDescent="0.35">
      <c r="C137" s="38" t="s">
        <v>51</v>
      </c>
      <c r="D137" s="39">
        <v>0</v>
      </c>
      <c r="E137" s="44"/>
      <c r="F137" s="45"/>
      <c r="G137" s="46"/>
      <c r="T137" s="60"/>
    </row>
    <row r="138" spans="1:20" s="9" customFormat="1" ht="27" customHeight="1" thickBot="1" x14ac:dyDescent="0.4">
      <c r="C138" s="42" t="s">
        <v>52</v>
      </c>
      <c r="D138" s="43">
        <v>0</v>
      </c>
      <c r="E138" s="44"/>
      <c r="F138" s="45"/>
      <c r="G138" s="46"/>
      <c r="T138" s="60"/>
    </row>
    <row r="139" spans="1:20" s="9" customFormat="1" ht="17.25" customHeight="1" x14ac:dyDescent="0.25">
      <c r="T139" s="60"/>
    </row>
    <row r="140" spans="1:20" s="9" customFormat="1" ht="16.5" customHeight="1" x14ac:dyDescent="0.2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69"/>
    </row>
    <row r="141" spans="1:20" s="9" customFormat="1" ht="27" customHeight="1" thickBot="1" x14ac:dyDescent="0.3">
      <c r="C141" s="133" t="s">
        <v>509</v>
      </c>
      <c r="D141" s="133"/>
      <c r="E141" s="133"/>
      <c r="F141" s="133"/>
      <c r="T141" s="60"/>
    </row>
    <row r="142" spans="1:20" s="9" customFormat="1" ht="27" customHeight="1" thickBot="1" x14ac:dyDescent="0.4">
      <c r="C142" s="34" t="s">
        <v>1</v>
      </c>
      <c r="D142" s="35">
        <v>881</v>
      </c>
      <c r="E142" s="44"/>
      <c r="F142" s="34" t="s">
        <v>57</v>
      </c>
      <c r="G142" s="35">
        <v>7</v>
      </c>
      <c r="I142" s="71"/>
      <c r="T142" s="60"/>
    </row>
    <row r="143" spans="1:20" s="9" customFormat="1" ht="27" customHeight="1" x14ac:dyDescent="0.35">
      <c r="C143" s="36" t="s">
        <v>0</v>
      </c>
      <c r="D143" s="37">
        <v>280</v>
      </c>
      <c r="E143" s="44"/>
      <c r="F143" s="36" t="s">
        <v>55</v>
      </c>
      <c r="G143" s="37">
        <v>1</v>
      </c>
      <c r="I143" s="71"/>
      <c r="T143" s="60"/>
    </row>
    <row r="144" spans="1:20" s="9" customFormat="1" ht="27" customHeight="1" thickBot="1" x14ac:dyDescent="0.4">
      <c r="C144" s="38" t="s">
        <v>2</v>
      </c>
      <c r="D144" s="39">
        <v>204</v>
      </c>
      <c r="E144" s="44"/>
      <c r="F144" s="42" t="s">
        <v>56</v>
      </c>
      <c r="G144" s="43">
        <v>6</v>
      </c>
      <c r="I144" s="71"/>
      <c r="T144" s="60"/>
    </row>
    <row r="145" spans="3:20" s="9" customFormat="1" ht="27" customHeight="1" x14ac:dyDescent="0.35">
      <c r="C145" s="38" t="s">
        <v>3</v>
      </c>
      <c r="D145" s="39">
        <v>285</v>
      </c>
      <c r="E145" s="44"/>
      <c r="F145" s="45"/>
      <c r="G145" s="46"/>
      <c r="T145" s="60"/>
    </row>
    <row r="146" spans="3:20" s="9" customFormat="1" ht="27" customHeight="1" x14ac:dyDescent="0.35">
      <c r="C146" s="38" t="s">
        <v>4</v>
      </c>
      <c r="D146" s="39">
        <v>171</v>
      </c>
      <c r="E146" s="44"/>
      <c r="F146" s="45"/>
      <c r="G146" s="46"/>
      <c r="T146" s="60"/>
    </row>
    <row r="147" spans="3:20" s="9" customFormat="1" ht="27" customHeight="1" x14ac:dyDescent="0.35">
      <c r="C147" s="38" t="s">
        <v>5</v>
      </c>
      <c r="D147" s="39">
        <v>194</v>
      </c>
      <c r="E147" s="44"/>
      <c r="F147" s="45"/>
      <c r="G147" s="46"/>
      <c r="T147" s="60"/>
    </row>
    <row r="148" spans="3:20" s="9" customFormat="1" ht="27" customHeight="1" x14ac:dyDescent="0.35">
      <c r="C148" s="40" t="s">
        <v>6</v>
      </c>
      <c r="D148" s="41">
        <v>11</v>
      </c>
      <c r="E148" s="44"/>
      <c r="F148" s="45"/>
      <c r="G148" s="46"/>
      <c r="T148" s="60"/>
    </row>
    <row r="149" spans="3:20" s="9" customFormat="1" ht="27" customHeight="1" x14ac:dyDescent="0.35">
      <c r="C149" s="38" t="s">
        <v>7</v>
      </c>
      <c r="D149" s="39">
        <v>16</v>
      </c>
      <c r="E149" s="44"/>
      <c r="F149" s="45"/>
      <c r="G149" s="46"/>
      <c r="T149" s="60"/>
    </row>
    <row r="150" spans="3:20" s="9" customFormat="1" ht="27" customHeight="1" x14ac:dyDescent="0.35">
      <c r="C150" s="38" t="s">
        <v>49</v>
      </c>
      <c r="D150" s="39">
        <v>0</v>
      </c>
      <c r="E150" s="44"/>
      <c r="F150" s="45"/>
      <c r="G150" s="46"/>
      <c r="T150" s="60"/>
    </row>
    <row r="151" spans="3:20" s="9" customFormat="1" ht="27" customHeight="1" x14ac:dyDescent="0.35">
      <c r="C151" s="38" t="s">
        <v>50</v>
      </c>
      <c r="D151" s="39">
        <v>0</v>
      </c>
      <c r="E151" s="44"/>
      <c r="F151" s="45"/>
      <c r="G151" s="46"/>
      <c r="T151" s="60"/>
    </row>
    <row r="152" spans="3:20" s="9" customFormat="1" ht="27" customHeight="1" x14ac:dyDescent="0.35">
      <c r="C152" s="38" t="s">
        <v>51</v>
      </c>
      <c r="D152" s="39">
        <v>0</v>
      </c>
      <c r="E152" s="44"/>
      <c r="F152" s="45"/>
      <c r="G152" s="46"/>
      <c r="T152" s="60"/>
    </row>
    <row r="153" spans="3:20" s="9" customFormat="1" ht="27" customHeight="1" thickBot="1" x14ac:dyDescent="0.4">
      <c r="C153" s="42" t="s">
        <v>52</v>
      </c>
      <c r="D153" s="43">
        <v>0</v>
      </c>
      <c r="E153" s="44"/>
      <c r="F153" s="45"/>
      <c r="G153" s="46"/>
      <c r="T153" s="60"/>
    </row>
    <row r="154" spans="3:20" s="9" customFormat="1" ht="27" customHeight="1" x14ac:dyDescent="0.25">
      <c r="T154" s="60"/>
    </row>
    <row r="155" spans="3:20" s="9" customFormat="1" ht="27" customHeight="1" x14ac:dyDescent="0.25">
      <c r="T155" s="60"/>
    </row>
    <row r="156" spans="3:20" s="9" customFormat="1" ht="27" customHeight="1" x14ac:dyDescent="0.25">
      <c r="T156" s="60"/>
    </row>
    <row r="157" spans="3:20" s="9" customFormat="1" ht="27" customHeight="1" x14ac:dyDescent="0.25">
      <c r="T157" s="60"/>
    </row>
    <row r="158" spans="3:20" s="9" customFormat="1" ht="27" customHeight="1" x14ac:dyDescent="0.25">
      <c r="T158" s="60"/>
    </row>
    <row r="159" spans="3:20" s="9" customFormat="1" ht="27" customHeight="1" x14ac:dyDescent="0.25">
      <c r="T159" s="60"/>
    </row>
    <row r="160" spans="3:20" s="9" customFormat="1" ht="27" customHeight="1" x14ac:dyDescent="0.25">
      <c r="T160" s="60"/>
    </row>
    <row r="161" spans="20:20" s="9" customFormat="1" ht="27" customHeight="1" x14ac:dyDescent="0.25">
      <c r="T161" s="60"/>
    </row>
    <row r="162" spans="20:20" s="9" customFormat="1" ht="27" customHeight="1" x14ac:dyDescent="0.25">
      <c r="T162" s="60"/>
    </row>
    <row r="163" spans="20:20" s="9" customFormat="1" ht="27" customHeight="1" x14ac:dyDescent="0.25">
      <c r="T163" s="60"/>
    </row>
    <row r="164" spans="20:20" s="9" customFormat="1" ht="27" customHeight="1" x14ac:dyDescent="0.25">
      <c r="T164" s="60"/>
    </row>
    <row r="165" spans="20:20" s="9" customFormat="1" ht="27" customHeight="1" x14ac:dyDescent="0.25">
      <c r="T165" s="60"/>
    </row>
    <row r="166" spans="20:20" s="9" customFormat="1" ht="27" customHeight="1" x14ac:dyDescent="0.25">
      <c r="T166" s="60"/>
    </row>
    <row r="167" spans="20:20" s="9" customFormat="1" ht="27" customHeight="1" x14ac:dyDescent="0.25">
      <c r="T167" s="60"/>
    </row>
    <row r="168" spans="20:20" s="9" customFormat="1" ht="27" customHeight="1" x14ac:dyDescent="0.25">
      <c r="T168" s="60"/>
    </row>
    <row r="169" spans="20:20" s="9" customFormat="1" ht="27" customHeight="1" x14ac:dyDescent="0.25">
      <c r="T169" s="60"/>
    </row>
    <row r="170" spans="20:20" s="9" customFormat="1" ht="27" customHeight="1" x14ac:dyDescent="0.25">
      <c r="T170" s="60"/>
    </row>
    <row r="171" spans="20:20" s="9" customFormat="1" ht="27" customHeight="1" x14ac:dyDescent="0.25">
      <c r="T171" s="60"/>
    </row>
    <row r="172" spans="20:20" s="9" customFormat="1" ht="27" customHeight="1" x14ac:dyDescent="0.25">
      <c r="T172" s="60"/>
    </row>
    <row r="173" spans="20:20" s="9" customFormat="1" ht="27" customHeight="1" x14ac:dyDescent="0.25">
      <c r="T173" s="60"/>
    </row>
    <row r="174" spans="20:20" s="9" customFormat="1" ht="27" customHeight="1" x14ac:dyDescent="0.25">
      <c r="T174" s="60"/>
    </row>
    <row r="175" spans="20:20" s="9" customFormat="1" ht="27" customHeight="1" x14ac:dyDescent="0.25">
      <c r="T175" s="60"/>
    </row>
    <row r="176" spans="20:20" s="9" customFormat="1" ht="27" customHeight="1" x14ac:dyDescent="0.25">
      <c r="T176" s="60"/>
    </row>
    <row r="177" spans="20:20" s="9" customFormat="1" ht="27" customHeight="1" x14ac:dyDescent="0.25">
      <c r="T177" s="60"/>
    </row>
    <row r="178" spans="20:20" s="9" customFormat="1" ht="27" customHeight="1" x14ac:dyDescent="0.25">
      <c r="T178" s="60"/>
    </row>
    <row r="179" spans="20:20" s="9" customFormat="1" ht="27" customHeight="1" x14ac:dyDescent="0.25">
      <c r="T179" s="60"/>
    </row>
    <row r="180" spans="20:20" s="9" customFormat="1" ht="27" customHeight="1" x14ac:dyDescent="0.25">
      <c r="T180" s="60"/>
    </row>
    <row r="181" spans="20:20" s="9" customFormat="1" ht="27" customHeight="1" x14ac:dyDescent="0.25">
      <c r="T181" s="60"/>
    </row>
    <row r="182" spans="20:20" s="9" customFormat="1" ht="27" customHeight="1" x14ac:dyDescent="0.25">
      <c r="T182" s="60"/>
    </row>
    <row r="183" spans="20:20" s="9" customFormat="1" ht="27" customHeight="1" x14ac:dyDescent="0.25">
      <c r="T183" s="60"/>
    </row>
    <row r="184" spans="20:20" s="9" customFormat="1" ht="27" customHeight="1" x14ac:dyDescent="0.25">
      <c r="T184" s="60"/>
    </row>
    <row r="185" spans="20:20" s="9" customFormat="1" ht="27" customHeight="1" x14ac:dyDescent="0.25">
      <c r="T185" s="60"/>
    </row>
    <row r="186" spans="20:20" s="9" customFormat="1" ht="27" customHeight="1" x14ac:dyDescent="0.25">
      <c r="T186" s="60"/>
    </row>
    <row r="187" spans="20:20" s="9" customFormat="1" ht="27" customHeight="1" x14ac:dyDescent="0.25">
      <c r="T187" s="60"/>
    </row>
    <row r="188" spans="20:20" s="9" customFormat="1" ht="27" customHeight="1" x14ac:dyDescent="0.25">
      <c r="T188" s="60"/>
    </row>
    <row r="189" spans="20:20" s="9" customFormat="1" ht="27" customHeight="1" x14ac:dyDescent="0.25">
      <c r="T189" s="60"/>
    </row>
    <row r="190" spans="20:20" s="9" customFormat="1" ht="27" customHeight="1" x14ac:dyDescent="0.25">
      <c r="T190" s="60"/>
    </row>
    <row r="191" spans="20:20" s="9" customFormat="1" ht="27" customHeight="1" x14ac:dyDescent="0.25">
      <c r="T191" s="60"/>
    </row>
    <row r="192" spans="20:20" s="9" customFormat="1" ht="27" customHeight="1" x14ac:dyDescent="0.25">
      <c r="T192" s="60"/>
    </row>
    <row r="193" spans="20:20" s="9" customFormat="1" ht="27" customHeight="1" x14ac:dyDescent="0.25">
      <c r="T193" s="60"/>
    </row>
    <row r="194" spans="20:20" s="9" customFormat="1" ht="27" customHeight="1" x14ac:dyDescent="0.25">
      <c r="T194" s="60"/>
    </row>
    <row r="195" spans="20:20" s="9" customFormat="1" ht="27" customHeight="1" x14ac:dyDescent="0.25">
      <c r="T195" s="60"/>
    </row>
    <row r="196" spans="20:20" s="9" customFormat="1" ht="27" customHeight="1" x14ac:dyDescent="0.25">
      <c r="T196" s="60"/>
    </row>
    <row r="197" spans="20:20" s="9" customFormat="1" ht="27" customHeight="1" x14ac:dyDescent="0.25">
      <c r="T197" s="60"/>
    </row>
    <row r="198" spans="20:20" s="9" customFormat="1" ht="27" customHeight="1" x14ac:dyDescent="0.25">
      <c r="T198" s="60"/>
    </row>
    <row r="199" spans="20:20" s="9" customFormat="1" ht="27" customHeight="1" x14ac:dyDescent="0.25">
      <c r="T199" s="60"/>
    </row>
    <row r="200" spans="20:20" s="9" customFormat="1" ht="27" customHeight="1" x14ac:dyDescent="0.25">
      <c r="T200" s="60"/>
    </row>
    <row r="201" spans="20:20" s="9" customFormat="1" ht="27" customHeight="1" x14ac:dyDescent="0.25">
      <c r="T201" s="60"/>
    </row>
    <row r="202" spans="20:20" s="9" customFormat="1" ht="27" customHeight="1" x14ac:dyDescent="0.25">
      <c r="T202" s="60"/>
    </row>
    <row r="203" spans="20:20" s="9" customFormat="1" ht="27" customHeight="1" x14ac:dyDescent="0.25">
      <c r="T203" s="60"/>
    </row>
    <row r="204" spans="20:20" s="9" customFormat="1" ht="27" customHeight="1" x14ac:dyDescent="0.25">
      <c r="T204" s="60"/>
    </row>
    <row r="205" spans="20:20" s="9" customFormat="1" ht="27" customHeight="1" x14ac:dyDescent="0.25">
      <c r="T205" s="60"/>
    </row>
    <row r="206" spans="20:20" s="9" customFormat="1" ht="27" customHeight="1" x14ac:dyDescent="0.25">
      <c r="T206" s="60"/>
    </row>
    <row r="207" spans="20:20" s="9" customFormat="1" ht="27" customHeight="1" x14ac:dyDescent="0.25">
      <c r="T207" s="60"/>
    </row>
    <row r="208" spans="20:20" s="9" customFormat="1" ht="27" customHeight="1" x14ac:dyDescent="0.25">
      <c r="T208" s="60"/>
    </row>
    <row r="209" spans="20:20" s="9" customFormat="1" ht="27" customHeight="1" x14ac:dyDescent="0.25">
      <c r="T209" s="60"/>
    </row>
    <row r="210" spans="20:20" s="9" customFormat="1" ht="27" customHeight="1" x14ac:dyDescent="0.25">
      <c r="T210" s="60"/>
    </row>
    <row r="211" spans="20:20" s="9" customFormat="1" ht="27" customHeight="1" x14ac:dyDescent="0.25">
      <c r="T211" s="60"/>
    </row>
    <row r="212" spans="20:20" s="9" customFormat="1" ht="27" customHeight="1" x14ac:dyDescent="0.25">
      <c r="T212" s="60"/>
    </row>
    <row r="213" spans="20:20" s="9" customFormat="1" ht="27" customHeight="1" x14ac:dyDescent="0.25">
      <c r="T213" s="60"/>
    </row>
    <row r="214" spans="20:20" s="9" customFormat="1" ht="27" customHeight="1" x14ac:dyDescent="0.25">
      <c r="T214" s="60"/>
    </row>
    <row r="215" spans="20:20" s="9" customFormat="1" ht="27" customHeight="1" x14ac:dyDescent="0.25">
      <c r="T215" s="60"/>
    </row>
    <row r="216" spans="20:20" s="9" customFormat="1" ht="27" customHeight="1" x14ac:dyDescent="0.25">
      <c r="T216" s="60"/>
    </row>
    <row r="217" spans="20:20" s="9" customFormat="1" ht="27" customHeight="1" x14ac:dyDescent="0.25">
      <c r="T217" s="60"/>
    </row>
    <row r="218" spans="20:20" s="9" customFormat="1" ht="27" customHeight="1" x14ac:dyDescent="0.25">
      <c r="T218" s="60"/>
    </row>
    <row r="219" spans="20:20" s="9" customFormat="1" ht="27" customHeight="1" x14ac:dyDescent="0.25">
      <c r="T219" s="60"/>
    </row>
    <row r="220" spans="20:20" s="9" customFormat="1" ht="27" customHeight="1" x14ac:dyDescent="0.25">
      <c r="T220" s="60"/>
    </row>
    <row r="221" spans="20:20" s="9" customFormat="1" ht="27" customHeight="1" x14ac:dyDescent="0.25">
      <c r="T221" s="60"/>
    </row>
    <row r="222" spans="20:20" s="9" customFormat="1" ht="27" customHeight="1" x14ac:dyDescent="0.25">
      <c r="T222" s="60"/>
    </row>
    <row r="223" spans="20:20" s="9" customFormat="1" ht="27" customHeight="1" x14ac:dyDescent="0.25">
      <c r="T223" s="60"/>
    </row>
    <row r="224" spans="20:20" s="9" customFormat="1" ht="27" customHeight="1" x14ac:dyDescent="0.25">
      <c r="T224" s="60"/>
    </row>
    <row r="225" spans="20:20" s="9" customFormat="1" ht="27" customHeight="1" x14ac:dyDescent="0.25">
      <c r="T225" s="60"/>
    </row>
    <row r="226" spans="20:20" s="9" customFormat="1" ht="27" customHeight="1" x14ac:dyDescent="0.25">
      <c r="T226" s="60"/>
    </row>
    <row r="227" spans="20:20" s="9" customFormat="1" ht="27" customHeight="1" x14ac:dyDescent="0.25">
      <c r="T227" s="60"/>
    </row>
    <row r="228" spans="20:20" s="9" customFormat="1" ht="27" customHeight="1" x14ac:dyDescent="0.25">
      <c r="T228" s="60"/>
    </row>
    <row r="229" spans="20:20" s="9" customFormat="1" ht="27" customHeight="1" x14ac:dyDescent="0.25">
      <c r="T229" s="60"/>
    </row>
    <row r="230" spans="20:20" s="9" customFormat="1" ht="27" customHeight="1" x14ac:dyDescent="0.25">
      <c r="T230" s="60"/>
    </row>
    <row r="231" spans="20:20" s="9" customFormat="1" ht="27" customHeight="1" x14ac:dyDescent="0.25">
      <c r="T231" s="60"/>
    </row>
    <row r="232" spans="20:20" s="9" customFormat="1" ht="27" customHeight="1" x14ac:dyDescent="0.25">
      <c r="T232" s="60"/>
    </row>
    <row r="233" spans="20:20" s="9" customFormat="1" ht="27" customHeight="1" x14ac:dyDescent="0.25">
      <c r="T233" s="60"/>
    </row>
    <row r="234" spans="20:20" s="9" customFormat="1" ht="27" customHeight="1" x14ac:dyDescent="0.25">
      <c r="T234" s="60"/>
    </row>
    <row r="235" spans="20:20" s="9" customFormat="1" ht="27" customHeight="1" x14ac:dyDescent="0.25">
      <c r="T235" s="60"/>
    </row>
    <row r="236" spans="20:20" s="9" customFormat="1" ht="27" customHeight="1" x14ac:dyDescent="0.25">
      <c r="T236" s="60"/>
    </row>
    <row r="237" spans="20:20" s="9" customFormat="1" ht="27" customHeight="1" x14ac:dyDescent="0.25">
      <c r="T237" s="60"/>
    </row>
    <row r="238" spans="20:20" s="9" customFormat="1" ht="27" customHeight="1" x14ac:dyDescent="0.25">
      <c r="T238" s="60"/>
    </row>
    <row r="239" spans="20:20" s="9" customFormat="1" ht="27" customHeight="1" x14ac:dyDescent="0.25">
      <c r="T239" s="60"/>
    </row>
    <row r="240" spans="20:20" s="9" customFormat="1" ht="27" customHeight="1" x14ac:dyDescent="0.25">
      <c r="T240" s="60"/>
    </row>
    <row r="241" spans="20:20" s="9" customFormat="1" ht="27" customHeight="1" x14ac:dyDescent="0.25">
      <c r="T241" s="60"/>
    </row>
    <row r="242" spans="20:20" s="9" customFormat="1" ht="27" customHeight="1" x14ac:dyDescent="0.25">
      <c r="T242" s="60"/>
    </row>
    <row r="243" spans="20:20" s="9" customFormat="1" ht="27" customHeight="1" x14ac:dyDescent="0.25">
      <c r="T243" s="60"/>
    </row>
    <row r="244" spans="20:20" s="9" customFormat="1" ht="27" customHeight="1" x14ac:dyDescent="0.25">
      <c r="T244" s="60"/>
    </row>
    <row r="245" spans="20:20" s="9" customFormat="1" ht="27" customHeight="1" x14ac:dyDescent="0.25">
      <c r="T245" s="60"/>
    </row>
    <row r="246" spans="20:20" s="9" customFormat="1" ht="27" customHeight="1" x14ac:dyDescent="0.25">
      <c r="T246" s="60"/>
    </row>
    <row r="247" spans="20:20" s="9" customFormat="1" ht="27" customHeight="1" x14ac:dyDescent="0.25">
      <c r="T247" s="60"/>
    </row>
    <row r="248" spans="20:20" s="9" customFormat="1" ht="27" customHeight="1" x14ac:dyDescent="0.25">
      <c r="T248" s="60"/>
    </row>
    <row r="249" spans="20:20" s="9" customFormat="1" ht="27" customHeight="1" x14ac:dyDescent="0.25">
      <c r="T249" s="60"/>
    </row>
    <row r="250" spans="20:20" s="9" customFormat="1" ht="27" customHeight="1" x14ac:dyDescent="0.25">
      <c r="T250" s="60"/>
    </row>
    <row r="251" spans="20:20" s="9" customFormat="1" ht="27" customHeight="1" x14ac:dyDescent="0.25">
      <c r="T251" s="60"/>
    </row>
    <row r="252" spans="20:20" s="9" customFormat="1" ht="27" customHeight="1" x14ac:dyDescent="0.25">
      <c r="T252" s="60"/>
    </row>
    <row r="253" spans="20:20" s="9" customFormat="1" ht="27" customHeight="1" x14ac:dyDescent="0.25">
      <c r="T253" s="60"/>
    </row>
    <row r="254" spans="20:20" s="9" customFormat="1" ht="27" customHeight="1" x14ac:dyDescent="0.25">
      <c r="T254" s="60"/>
    </row>
    <row r="255" spans="20:20" s="9" customFormat="1" ht="27" customHeight="1" x14ac:dyDescent="0.25">
      <c r="T255" s="60"/>
    </row>
    <row r="256" spans="20:20" s="9" customFormat="1" ht="27" customHeight="1" x14ac:dyDescent="0.25">
      <c r="T256" s="60"/>
    </row>
    <row r="257" spans="20:20" s="9" customFormat="1" ht="27" customHeight="1" x14ac:dyDescent="0.25">
      <c r="T257" s="60"/>
    </row>
    <row r="258" spans="20:20" s="9" customFormat="1" ht="27" customHeight="1" x14ac:dyDescent="0.25">
      <c r="T258" s="60"/>
    </row>
    <row r="259" spans="20:20" s="9" customFormat="1" ht="27" customHeight="1" x14ac:dyDescent="0.25">
      <c r="T259" s="60"/>
    </row>
    <row r="260" spans="20:20" s="9" customFormat="1" ht="27" customHeight="1" x14ac:dyDescent="0.25">
      <c r="T260" s="60"/>
    </row>
    <row r="261" spans="20:20" s="9" customFormat="1" ht="27" customHeight="1" x14ac:dyDescent="0.25">
      <c r="T261" s="60"/>
    </row>
    <row r="262" spans="20:20" s="9" customFormat="1" ht="27" customHeight="1" x14ac:dyDescent="0.25">
      <c r="T262" s="60"/>
    </row>
    <row r="263" spans="20:20" s="9" customFormat="1" ht="27" customHeight="1" x14ac:dyDescent="0.25">
      <c r="T263" s="60"/>
    </row>
    <row r="264" spans="20:20" s="9" customFormat="1" ht="27" customHeight="1" x14ac:dyDescent="0.25">
      <c r="T264" s="60"/>
    </row>
    <row r="265" spans="20:20" s="9" customFormat="1" ht="27" customHeight="1" x14ac:dyDescent="0.25">
      <c r="T265" s="60"/>
    </row>
    <row r="266" spans="20:20" s="9" customFormat="1" ht="27" customHeight="1" x14ac:dyDescent="0.25">
      <c r="T266" s="60"/>
    </row>
    <row r="267" spans="20:20" s="9" customFormat="1" ht="27" customHeight="1" x14ac:dyDescent="0.25">
      <c r="T267" s="60"/>
    </row>
    <row r="268" spans="20:20" s="9" customFormat="1" ht="27" customHeight="1" x14ac:dyDescent="0.25">
      <c r="T268" s="60"/>
    </row>
    <row r="269" spans="20:20" s="9" customFormat="1" ht="27" customHeight="1" x14ac:dyDescent="0.25">
      <c r="T269" s="60"/>
    </row>
    <row r="270" spans="20:20" s="9" customFormat="1" ht="27" customHeight="1" x14ac:dyDescent="0.25">
      <c r="T270" s="60"/>
    </row>
    <row r="271" spans="20:20" s="9" customFormat="1" ht="27" customHeight="1" x14ac:dyDescent="0.25">
      <c r="T271" s="60"/>
    </row>
    <row r="272" spans="20:20" s="9" customFormat="1" ht="27" customHeight="1" x14ac:dyDescent="0.25">
      <c r="T272" s="60"/>
    </row>
    <row r="273" spans="20:20" s="9" customFormat="1" ht="27" customHeight="1" x14ac:dyDescent="0.25">
      <c r="T273" s="60"/>
    </row>
    <row r="274" spans="20:20" s="9" customFormat="1" ht="27" customHeight="1" x14ac:dyDescent="0.25">
      <c r="T274" s="60"/>
    </row>
    <row r="275" spans="20:20" s="9" customFormat="1" ht="27" customHeight="1" x14ac:dyDescent="0.25">
      <c r="T275" s="60"/>
    </row>
    <row r="276" spans="20:20" s="9" customFormat="1" ht="27" customHeight="1" x14ac:dyDescent="0.25">
      <c r="T276" s="60"/>
    </row>
    <row r="277" spans="20:20" s="9" customFormat="1" ht="27" customHeight="1" x14ac:dyDescent="0.25">
      <c r="T277" s="60"/>
    </row>
    <row r="278" spans="20:20" s="9" customFormat="1" ht="27" customHeight="1" x14ac:dyDescent="0.25">
      <c r="T278" s="60"/>
    </row>
    <row r="279" spans="20:20" s="9" customFormat="1" ht="27" customHeight="1" x14ac:dyDescent="0.25">
      <c r="T279" s="60"/>
    </row>
    <row r="280" spans="20:20" s="9" customFormat="1" ht="27" customHeight="1" x14ac:dyDescent="0.25">
      <c r="T280" s="60"/>
    </row>
    <row r="281" spans="20:20" s="9" customFormat="1" ht="27" customHeight="1" x14ac:dyDescent="0.25">
      <c r="T281" s="60"/>
    </row>
    <row r="282" spans="20:20" s="9" customFormat="1" ht="27" customHeight="1" x14ac:dyDescent="0.25">
      <c r="T282" s="60"/>
    </row>
    <row r="283" spans="20:20" s="9" customFormat="1" ht="27" customHeight="1" x14ac:dyDescent="0.25">
      <c r="T283" s="60"/>
    </row>
    <row r="284" spans="20:20" s="9" customFormat="1" ht="27" customHeight="1" x14ac:dyDescent="0.25">
      <c r="T284" s="60"/>
    </row>
    <row r="285" spans="20:20" s="9" customFormat="1" ht="27" customHeight="1" x14ac:dyDescent="0.25">
      <c r="T285" s="60"/>
    </row>
    <row r="286" spans="20:20" s="9" customFormat="1" ht="27" customHeight="1" x14ac:dyDescent="0.25">
      <c r="T286" s="60"/>
    </row>
    <row r="287" spans="20:20" s="9" customFormat="1" ht="27" customHeight="1" x14ac:dyDescent="0.25">
      <c r="T287" s="60"/>
    </row>
    <row r="288" spans="20:20" s="9" customFormat="1" ht="27" customHeight="1" x14ac:dyDescent="0.25">
      <c r="T288" s="60"/>
    </row>
    <row r="289" spans="20:20" s="9" customFormat="1" ht="27" customHeight="1" x14ac:dyDescent="0.25">
      <c r="T289" s="60"/>
    </row>
    <row r="290" spans="20:20" s="9" customFormat="1" ht="27" customHeight="1" x14ac:dyDescent="0.25">
      <c r="T290" s="60"/>
    </row>
    <row r="291" spans="20:20" s="9" customFormat="1" ht="27" customHeight="1" x14ac:dyDescent="0.25">
      <c r="T291" s="60"/>
    </row>
    <row r="292" spans="20:20" s="9" customFormat="1" ht="27" customHeight="1" x14ac:dyDescent="0.25">
      <c r="T292" s="60"/>
    </row>
    <row r="293" spans="20:20" s="9" customFormat="1" ht="27" customHeight="1" x14ac:dyDescent="0.25">
      <c r="T293" s="60"/>
    </row>
    <row r="294" spans="20:20" s="9" customFormat="1" ht="27" customHeight="1" x14ac:dyDescent="0.25">
      <c r="T294" s="60"/>
    </row>
    <row r="295" spans="20:20" s="9" customFormat="1" ht="27" customHeight="1" x14ac:dyDescent="0.25">
      <c r="T295" s="60"/>
    </row>
    <row r="296" spans="20:20" s="9" customFormat="1" ht="27" customHeight="1" x14ac:dyDescent="0.25">
      <c r="T296" s="60"/>
    </row>
    <row r="297" spans="20:20" s="9" customFormat="1" ht="27" customHeight="1" x14ac:dyDescent="0.25">
      <c r="T297" s="60"/>
    </row>
    <row r="298" spans="20:20" s="9" customFormat="1" ht="27" customHeight="1" x14ac:dyDescent="0.25">
      <c r="T298" s="60"/>
    </row>
    <row r="299" spans="20:20" s="9" customFormat="1" ht="27" customHeight="1" x14ac:dyDescent="0.25">
      <c r="T299" s="60"/>
    </row>
    <row r="300" spans="20:20" s="9" customFormat="1" ht="27" customHeight="1" x14ac:dyDescent="0.25">
      <c r="T300" s="60"/>
    </row>
    <row r="301" spans="20:20" s="9" customFormat="1" ht="27" customHeight="1" x14ac:dyDescent="0.25">
      <c r="T301" s="60"/>
    </row>
    <row r="302" spans="20:20" s="9" customFormat="1" ht="27" customHeight="1" x14ac:dyDescent="0.25">
      <c r="T302" s="60"/>
    </row>
    <row r="303" spans="20:20" s="9" customFormat="1" ht="27" customHeight="1" x14ac:dyDescent="0.25">
      <c r="T303" s="60"/>
    </row>
    <row r="304" spans="20:20" s="9" customFormat="1" ht="27" customHeight="1" x14ac:dyDescent="0.25">
      <c r="T304" s="60"/>
    </row>
    <row r="305" spans="20:20" s="9" customFormat="1" ht="27" customHeight="1" x14ac:dyDescent="0.25">
      <c r="T305" s="60"/>
    </row>
    <row r="306" spans="20:20" s="9" customFormat="1" ht="27" customHeight="1" x14ac:dyDescent="0.25">
      <c r="T306" s="60"/>
    </row>
    <row r="307" spans="20:20" s="9" customFormat="1" ht="27" customHeight="1" x14ac:dyDescent="0.25">
      <c r="T307" s="60"/>
    </row>
    <row r="308" spans="20:20" s="9" customFormat="1" ht="27" customHeight="1" x14ac:dyDescent="0.25">
      <c r="T308" s="60"/>
    </row>
    <row r="309" spans="20:20" s="9" customFormat="1" ht="27" customHeight="1" x14ac:dyDescent="0.25">
      <c r="T309" s="60"/>
    </row>
    <row r="310" spans="20:20" s="9" customFormat="1" ht="27" customHeight="1" x14ac:dyDescent="0.25">
      <c r="T310" s="60"/>
    </row>
    <row r="311" spans="20:20" s="9" customFormat="1" ht="27" customHeight="1" x14ac:dyDescent="0.25">
      <c r="T311" s="60"/>
    </row>
    <row r="312" spans="20:20" s="9" customFormat="1" ht="27" customHeight="1" x14ac:dyDescent="0.25">
      <c r="T312" s="60"/>
    </row>
    <row r="313" spans="20:20" s="9" customFormat="1" ht="27" customHeight="1" x14ac:dyDescent="0.25">
      <c r="T313" s="60"/>
    </row>
    <row r="314" spans="20:20" s="9" customFormat="1" ht="27" customHeight="1" x14ac:dyDescent="0.25">
      <c r="T314" s="60"/>
    </row>
    <row r="315" spans="20:20" s="9" customFormat="1" ht="27" customHeight="1" x14ac:dyDescent="0.25">
      <c r="T315" s="60"/>
    </row>
    <row r="316" spans="20:20" s="9" customFormat="1" ht="27" customHeight="1" x14ac:dyDescent="0.25">
      <c r="T316" s="60"/>
    </row>
    <row r="317" spans="20:20" s="9" customFormat="1" ht="27" customHeight="1" x14ac:dyDescent="0.25">
      <c r="T317" s="60"/>
    </row>
    <row r="318" spans="20:20" s="9" customFormat="1" ht="27" customHeight="1" x14ac:dyDescent="0.25">
      <c r="T318" s="60"/>
    </row>
    <row r="319" spans="20:20" s="9" customFormat="1" ht="27" customHeight="1" x14ac:dyDescent="0.25">
      <c r="T319" s="60"/>
    </row>
    <row r="320" spans="20:20" s="9" customFormat="1" ht="27" customHeight="1" x14ac:dyDescent="0.25">
      <c r="T320" s="60"/>
    </row>
    <row r="321" spans="20:20" s="9" customFormat="1" ht="27" customHeight="1" x14ac:dyDescent="0.25">
      <c r="T321" s="60"/>
    </row>
    <row r="322" spans="20:20" s="9" customFormat="1" ht="27" customHeight="1" x14ac:dyDescent="0.25">
      <c r="T322" s="60"/>
    </row>
    <row r="323" spans="20:20" s="9" customFormat="1" ht="27" customHeight="1" x14ac:dyDescent="0.25">
      <c r="T323" s="60"/>
    </row>
    <row r="324" spans="20:20" s="9" customFormat="1" ht="27" customHeight="1" x14ac:dyDescent="0.25">
      <c r="T324" s="60"/>
    </row>
    <row r="325" spans="20:20" s="9" customFormat="1" ht="27" customHeight="1" x14ac:dyDescent="0.25">
      <c r="T325" s="60"/>
    </row>
    <row r="326" spans="20:20" s="9" customFormat="1" ht="27" customHeight="1" x14ac:dyDescent="0.25">
      <c r="T326" s="60"/>
    </row>
    <row r="327" spans="20:20" s="9" customFormat="1" ht="27" customHeight="1" x14ac:dyDescent="0.25">
      <c r="T327" s="60"/>
    </row>
    <row r="328" spans="20:20" s="9" customFormat="1" ht="27" customHeight="1" x14ac:dyDescent="0.25">
      <c r="T328" s="60"/>
    </row>
    <row r="329" spans="20:20" s="9" customFormat="1" ht="27" customHeight="1" x14ac:dyDescent="0.25">
      <c r="T329" s="60"/>
    </row>
    <row r="330" spans="20:20" s="9" customFormat="1" ht="27" customHeight="1" x14ac:dyDescent="0.25">
      <c r="T330" s="60"/>
    </row>
    <row r="331" spans="20:20" s="9" customFormat="1" ht="27" customHeight="1" x14ac:dyDescent="0.25">
      <c r="T331" s="60"/>
    </row>
    <row r="332" spans="20:20" s="9" customFormat="1" ht="27" customHeight="1" x14ac:dyDescent="0.25">
      <c r="T332" s="60"/>
    </row>
    <row r="333" spans="20:20" s="9" customFormat="1" x14ac:dyDescent="0.25">
      <c r="T333" s="60"/>
    </row>
    <row r="334" spans="20:20" s="9" customFormat="1" x14ac:dyDescent="0.25">
      <c r="T334" s="60"/>
    </row>
    <row r="335" spans="20:20" s="9" customFormat="1" x14ac:dyDescent="0.25">
      <c r="T335" s="60"/>
    </row>
    <row r="336" spans="20:20" s="9" customFormat="1" x14ac:dyDescent="0.25">
      <c r="T336" s="60"/>
    </row>
    <row r="337" spans="20:20" s="9" customFormat="1" x14ac:dyDescent="0.25">
      <c r="T337" s="60"/>
    </row>
    <row r="338" spans="20:20" s="9" customFormat="1" x14ac:dyDescent="0.25">
      <c r="T338" s="60"/>
    </row>
    <row r="339" spans="20:20" s="9" customFormat="1" x14ac:dyDescent="0.25">
      <c r="T339" s="60"/>
    </row>
    <row r="340" spans="20:20" s="9" customFormat="1" x14ac:dyDescent="0.25">
      <c r="T340" s="60"/>
    </row>
  </sheetData>
  <mergeCells count="9">
    <mergeCell ref="C111:F111"/>
    <mergeCell ref="C126:F126"/>
    <mergeCell ref="C141:F141"/>
    <mergeCell ref="C2:G3"/>
    <mergeCell ref="C36:F36"/>
    <mergeCell ref="C51:F51"/>
    <mergeCell ref="C66:F66"/>
    <mergeCell ref="C81:F81"/>
    <mergeCell ref="C96:F9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E6E7-1EB0-4944-8B3F-93BA1D7ACD92}">
  <sheetPr>
    <tabColor theme="5"/>
  </sheetPr>
  <dimension ref="A1:BI152"/>
  <sheetViews>
    <sheetView topLeftCell="A29" zoomScale="115" zoomScaleNormal="115" workbookViewId="0">
      <selection activeCell="AI28" sqref="AI28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0" style="9" hidden="1" customWidth="1"/>
    <col min="15" max="15" width="21.85546875" style="9" hidden="1" customWidth="1"/>
    <col min="16" max="16" width="7.42578125" style="9" hidden="1" customWidth="1"/>
    <col min="17" max="18" width="11.42578125" style="9" hidden="1" customWidth="1"/>
    <col min="19" max="19" width="4" style="9" hidden="1" customWidth="1"/>
    <col min="20" max="20" width="0" style="9" hidden="1" customWidth="1"/>
    <col min="21" max="21" width="21.85546875" style="9" hidden="1" customWidth="1"/>
    <col min="22" max="22" width="7.42578125" style="9" hidden="1" customWidth="1"/>
    <col min="23" max="24" width="11.42578125" style="9" hidden="1" customWidth="1"/>
    <col min="25" max="25" width="4.5703125" style="9" hidden="1" customWidth="1"/>
    <col min="26" max="26" width="11.42578125" style="9" hidden="1" customWidth="1"/>
    <col min="27" max="27" width="21.85546875" style="9" hidden="1" customWidth="1"/>
    <col min="28" max="31" width="11.42578125" style="9" hidden="1" customWidth="1"/>
    <col min="32" max="32" width="3.42578125" style="9" customWidth="1"/>
    <col min="33" max="33" width="0.85546875" style="18" customWidth="1"/>
    <col min="34" max="34" width="11.42578125" style="9"/>
    <col min="35" max="35" width="24" style="9" customWidth="1"/>
    <col min="36" max="36" width="11.42578125" style="11"/>
    <col min="37" max="61" width="11.42578125" style="9"/>
  </cols>
  <sheetData>
    <row r="1" spans="1:61" s="9" customFormat="1" x14ac:dyDescent="0.25">
      <c r="B1" s="10"/>
      <c r="D1" s="11"/>
      <c r="AG1" s="18"/>
      <c r="AJ1" s="11"/>
    </row>
    <row r="2" spans="1:61" s="9" customFormat="1" ht="28.5" customHeight="1" thickBot="1" x14ac:dyDescent="0.3">
      <c r="B2" s="10"/>
      <c r="D2" s="11"/>
      <c r="AG2" s="18"/>
      <c r="AI2" s="86" t="s">
        <v>53</v>
      </c>
      <c r="AJ2" s="86"/>
      <c r="AK2" s="26"/>
      <c r="AL2" s="26"/>
      <c r="AM2" s="26"/>
    </row>
    <row r="3" spans="1:61" ht="22.5" customHeight="1" thickBot="1" x14ac:dyDescent="0.3">
      <c r="C3" s="87" t="s">
        <v>68</v>
      </c>
      <c r="D3" s="88"/>
      <c r="E3" s="88"/>
      <c r="F3" s="89"/>
      <c r="H3" s="8"/>
      <c r="I3" s="87" t="s">
        <v>69</v>
      </c>
      <c r="J3" s="88"/>
      <c r="K3" s="88"/>
      <c r="L3" s="89"/>
      <c r="N3" s="8"/>
      <c r="O3" s="87" t="s">
        <v>48</v>
      </c>
      <c r="P3" s="88"/>
      <c r="Q3" s="88"/>
      <c r="R3" s="89"/>
      <c r="T3" s="8"/>
      <c r="U3" s="87" t="s">
        <v>48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F3" s="20"/>
      <c r="AI3" s="24"/>
      <c r="AJ3" s="26"/>
      <c r="AK3" s="24"/>
      <c r="AL3" s="24"/>
      <c r="AM3" s="24"/>
    </row>
    <row r="4" spans="1:61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12</v>
      </c>
      <c r="E4" s="94"/>
      <c r="F4" s="95"/>
      <c r="G4" s="29"/>
      <c r="H4" s="91" t="s">
        <v>9</v>
      </c>
      <c r="I4" s="27" t="s">
        <v>1</v>
      </c>
      <c r="J4" s="12">
        <v>195</v>
      </c>
      <c r="K4" s="94"/>
      <c r="L4" s="95"/>
      <c r="M4" s="29"/>
      <c r="N4" s="91" t="s">
        <v>9</v>
      </c>
      <c r="O4" s="27" t="s">
        <v>1</v>
      </c>
      <c r="P4" s="12">
        <f>P6+P7+P8+P9+P10+P11</f>
        <v>0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0"/>
      <c r="AG4" s="31"/>
      <c r="AH4" s="29"/>
      <c r="AI4" s="28" t="s">
        <v>1</v>
      </c>
      <c r="AJ4" s="25">
        <f>J4+P4+V4+D4</f>
        <v>207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5.75" customHeight="1" x14ac:dyDescent="0.25">
      <c r="B5" s="92"/>
      <c r="C5" s="6" t="s">
        <v>0</v>
      </c>
      <c r="D5" s="16">
        <v>1</v>
      </c>
      <c r="E5" s="96"/>
      <c r="F5" s="97"/>
      <c r="H5" s="92"/>
      <c r="I5" s="6" t="s">
        <v>0</v>
      </c>
      <c r="J5" s="16">
        <v>60</v>
      </c>
      <c r="K5" s="96"/>
      <c r="L5" s="97"/>
      <c r="N5" s="92"/>
      <c r="O5" s="6" t="s">
        <v>0</v>
      </c>
      <c r="P5" s="16">
        <v>0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F5" s="17"/>
      <c r="AI5" s="6" t="s">
        <v>0</v>
      </c>
      <c r="AJ5" s="16">
        <f>J5+P5+V5+D5</f>
        <v>61</v>
      </c>
    </row>
    <row r="6" spans="1:61" ht="15.75" customHeight="1" x14ac:dyDescent="0.25">
      <c r="B6" s="92"/>
      <c r="C6" s="2" t="s">
        <v>2</v>
      </c>
      <c r="D6" s="4">
        <v>3</v>
      </c>
      <c r="E6" s="96"/>
      <c r="F6" s="97"/>
      <c r="H6" s="92"/>
      <c r="I6" s="2" t="s">
        <v>2</v>
      </c>
      <c r="J6" s="4">
        <v>0</v>
      </c>
      <c r="K6" s="96"/>
      <c r="L6" s="97"/>
      <c r="N6" s="92"/>
      <c r="O6" s="2" t="s">
        <v>2</v>
      </c>
      <c r="P6" s="4">
        <v>0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F6" s="17"/>
      <c r="AI6" s="2" t="s">
        <v>2</v>
      </c>
      <c r="AJ6" s="4">
        <f t="shared" ref="AJ6:AJ15" si="0">+J6+P6+V6+D6</f>
        <v>3</v>
      </c>
    </row>
    <row r="7" spans="1:61" x14ac:dyDescent="0.25">
      <c r="B7" s="92"/>
      <c r="C7" s="2" t="s">
        <v>3</v>
      </c>
      <c r="D7" s="4">
        <v>4</v>
      </c>
      <c r="E7" s="96"/>
      <c r="F7" s="97"/>
      <c r="H7" s="92"/>
      <c r="I7" s="2" t="s">
        <v>3</v>
      </c>
      <c r="J7" s="4">
        <v>0</v>
      </c>
      <c r="K7" s="96"/>
      <c r="L7" s="97"/>
      <c r="N7" s="92"/>
      <c r="O7" s="2" t="s">
        <v>3</v>
      </c>
      <c r="P7" s="4">
        <v>0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F7" s="17"/>
      <c r="AI7" s="2" t="s">
        <v>3</v>
      </c>
      <c r="AJ7" s="4">
        <f t="shared" si="0"/>
        <v>4</v>
      </c>
    </row>
    <row r="8" spans="1:61" x14ac:dyDescent="0.25">
      <c r="B8" s="92"/>
      <c r="C8" s="2" t="s">
        <v>4</v>
      </c>
      <c r="D8" s="4">
        <v>2</v>
      </c>
      <c r="E8" s="96"/>
      <c r="F8" s="97"/>
      <c r="H8" s="92"/>
      <c r="I8" s="2" t="s">
        <v>4</v>
      </c>
      <c r="J8" s="4">
        <v>0</v>
      </c>
      <c r="K8" s="96"/>
      <c r="L8" s="97"/>
      <c r="N8" s="92"/>
      <c r="O8" s="2" t="s">
        <v>4</v>
      </c>
      <c r="P8" s="4">
        <v>0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F8" s="17"/>
      <c r="AI8" s="2" t="s">
        <v>4</v>
      </c>
      <c r="AJ8" s="4">
        <f t="shared" si="0"/>
        <v>2</v>
      </c>
    </row>
    <row r="9" spans="1:61" x14ac:dyDescent="0.25">
      <c r="B9" s="92"/>
      <c r="C9" s="2" t="s">
        <v>5</v>
      </c>
      <c r="D9" s="4">
        <v>2</v>
      </c>
      <c r="E9" s="96"/>
      <c r="F9" s="97"/>
      <c r="H9" s="92"/>
      <c r="I9" s="2" t="s">
        <v>5</v>
      </c>
      <c r="J9" s="4">
        <v>0</v>
      </c>
      <c r="K9" s="96"/>
      <c r="L9" s="97"/>
      <c r="N9" s="92"/>
      <c r="O9" s="2" t="s">
        <v>5</v>
      </c>
      <c r="P9" s="4">
        <v>0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F9" s="17"/>
      <c r="AI9" s="2" t="s">
        <v>5</v>
      </c>
      <c r="AJ9" s="4">
        <f t="shared" si="0"/>
        <v>2</v>
      </c>
    </row>
    <row r="10" spans="1:61" ht="15.75" thickBot="1" x14ac:dyDescent="0.3">
      <c r="B10" s="92"/>
      <c r="C10" s="7" t="s">
        <v>6</v>
      </c>
      <c r="D10" s="15">
        <v>0</v>
      </c>
      <c r="E10" s="96"/>
      <c r="F10" s="97"/>
      <c r="H10" s="92"/>
      <c r="I10" s="7" t="s">
        <v>6</v>
      </c>
      <c r="J10" s="15">
        <v>0</v>
      </c>
      <c r="K10" s="96"/>
      <c r="L10" s="97"/>
      <c r="N10" s="92"/>
      <c r="O10" s="7" t="s">
        <v>6</v>
      </c>
      <c r="P10" s="15">
        <v>0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F10" s="17"/>
      <c r="AI10" s="7" t="s">
        <v>6</v>
      </c>
      <c r="AJ10" s="15">
        <f t="shared" si="0"/>
        <v>0</v>
      </c>
    </row>
    <row r="11" spans="1:61" ht="15.75" thickBot="1" x14ac:dyDescent="0.3">
      <c r="B11" s="92"/>
      <c r="C11" s="2" t="s">
        <v>7</v>
      </c>
      <c r="D11" s="4">
        <v>1</v>
      </c>
      <c r="E11" s="98" t="s">
        <v>33</v>
      </c>
      <c r="F11" s="99"/>
      <c r="H11" s="92"/>
      <c r="I11" s="2" t="s">
        <v>7</v>
      </c>
      <c r="J11" s="4">
        <v>0</v>
      </c>
      <c r="K11" s="98" t="s">
        <v>33</v>
      </c>
      <c r="L11" s="99"/>
      <c r="N11" s="92"/>
      <c r="O11" s="2" t="s">
        <v>7</v>
      </c>
      <c r="P11" s="4">
        <v>0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F11" s="19"/>
      <c r="AI11" s="2" t="s">
        <v>7</v>
      </c>
      <c r="AJ11" s="4">
        <f t="shared" si="0"/>
        <v>1</v>
      </c>
    </row>
    <row r="12" spans="1:61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F12" s="17"/>
      <c r="AI12" s="2" t="s">
        <v>49</v>
      </c>
      <c r="AJ12" s="4">
        <f t="shared" si="0"/>
        <v>0</v>
      </c>
    </row>
    <row r="13" spans="1:61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F13" s="17"/>
      <c r="AI13" s="2" t="s">
        <v>50</v>
      </c>
      <c r="AJ13" s="4">
        <f t="shared" si="0"/>
        <v>0</v>
      </c>
    </row>
    <row r="14" spans="1:61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F14" s="17"/>
      <c r="AI14" s="2" t="s">
        <v>51</v>
      </c>
      <c r="AJ14" s="4">
        <f t="shared" si="0"/>
        <v>0</v>
      </c>
    </row>
    <row r="15" spans="1:61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F15" s="19"/>
      <c r="AI15" s="3" t="s">
        <v>52</v>
      </c>
      <c r="AJ15" s="5">
        <f t="shared" si="0"/>
        <v>0</v>
      </c>
    </row>
    <row r="16" spans="1:61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G16" s="18"/>
      <c r="AJ16" s="11"/>
    </row>
    <row r="17" spans="2:36" x14ac:dyDescent="0.25">
      <c r="B17" s="104" t="s">
        <v>28</v>
      </c>
      <c r="C17" s="6" t="s">
        <v>10</v>
      </c>
      <c r="D17" s="107" t="s">
        <v>70</v>
      </c>
      <c r="E17" s="108"/>
      <c r="F17" s="9"/>
      <c r="H17" s="104" t="s">
        <v>28</v>
      </c>
      <c r="I17" s="6" t="s">
        <v>10</v>
      </c>
      <c r="J17" s="107" t="s">
        <v>34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34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6" ht="15.75" thickBot="1" x14ac:dyDescent="0.3">
      <c r="B18" s="105"/>
      <c r="C18" s="2" t="s">
        <v>11</v>
      </c>
      <c r="D18" s="100" t="s">
        <v>71</v>
      </c>
      <c r="E18" s="101"/>
      <c r="F18" s="9"/>
      <c r="H18" s="105"/>
      <c r="I18" s="2" t="s">
        <v>11</v>
      </c>
      <c r="J18" s="100" t="s">
        <v>71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35</v>
      </c>
      <c r="W18" s="101"/>
      <c r="Z18" s="105"/>
      <c r="AA18" s="2" t="s">
        <v>11</v>
      </c>
      <c r="AB18" s="100" t="s">
        <v>35</v>
      </c>
      <c r="AC18" s="101"/>
    </row>
    <row r="19" spans="2:36" ht="15.75" thickBot="1" x14ac:dyDescent="0.3">
      <c r="B19" s="105"/>
      <c r="C19" s="2" t="s">
        <v>12</v>
      </c>
      <c r="D19" s="100" t="s">
        <v>72</v>
      </c>
      <c r="E19" s="101"/>
      <c r="F19" s="9"/>
      <c r="H19" s="105"/>
      <c r="I19" s="2" t="s">
        <v>12</v>
      </c>
      <c r="J19" s="100" t="s">
        <v>73</v>
      </c>
      <c r="K19" s="101"/>
      <c r="N19" s="105"/>
      <c r="O19" s="2" t="s">
        <v>12</v>
      </c>
      <c r="P19" s="100" t="s">
        <v>36</v>
      </c>
      <c r="Q19" s="101"/>
      <c r="T19" s="105"/>
      <c r="U19" s="2" t="s">
        <v>12</v>
      </c>
      <c r="V19" s="100" t="s">
        <v>36</v>
      </c>
      <c r="W19" s="101"/>
      <c r="Z19" s="105"/>
      <c r="AA19" s="2" t="s">
        <v>12</v>
      </c>
      <c r="AB19" s="100" t="s">
        <v>36</v>
      </c>
      <c r="AC19" s="101"/>
      <c r="AI19" s="51" t="s">
        <v>54</v>
      </c>
      <c r="AJ19" s="52">
        <f>+AJ20+AJ21</f>
        <v>2</v>
      </c>
    </row>
    <row r="20" spans="2:36" ht="15.75" thickBot="1" x14ac:dyDescent="0.3">
      <c r="B20" s="106"/>
      <c r="C20" s="3" t="s">
        <v>13</v>
      </c>
      <c r="D20" s="102"/>
      <c r="E20" s="103"/>
      <c r="F20" s="9"/>
      <c r="H20" s="106"/>
      <c r="I20" s="3" t="s">
        <v>13</v>
      </c>
      <c r="J20" s="102"/>
      <c r="K20" s="103"/>
      <c r="N20" s="106"/>
      <c r="O20" s="3" t="s">
        <v>13</v>
      </c>
      <c r="P20" s="102" t="s">
        <v>36</v>
      </c>
      <c r="Q20" s="103"/>
      <c r="T20" s="106"/>
      <c r="U20" s="3" t="s">
        <v>13</v>
      </c>
      <c r="V20" s="102" t="s">
        <v>36</v>
      </c>
      <c r="W20" s="103"/>
      <c r="Z20" s="106"/>
      <c r="AA20" s="3" t="s">
        <v>13</v>
      </c>
      <c r="AB20" s="102" t="s">
        <v>36</v>
      </c>
      <c r="AC20" s="103"/>
      <c r="AI20" s="49" t="s">
        <v>55</v>
      </c>
      <c r="AJ20" s="83">
        <v>2</v>
      </c>
    </row>
    <row r="21" spans="2:36" ht="15.75" thickBot="1" x14ac:dyDescent="0.3">
      <c r="B21" s="109" t="s">
        <v>29</v>
      </c>
      <c r="C21" s="6" t="s">
        <v>14</v>
      </c>
      <c r="D21" s="107" t="s">
        <v>74</v>
      </c>
      <c r="E21" s="108"/>
      <c r="F21" s="9"/>
      <c r="H21" s="109" t="s">
        <v>29</v>
      </c>
      <c r="I21" s="6" t="s">
        <v>14</v>
      </c>
      <c r="J21" s="107" t="s">
        <v>75</v>
      </c>
      <c r="K21" s="108"/>
      <c r="N21" s="109" t="s">
        <v>29</v>
      </c>
      <c r="O21" s="6" t="s">
        <v>14</v>
      </c>
      <c r="P21" s="107" t="s">
        <v>37</v>
      </c>
      <c r="Q21" s="108"/>
      <c r="T21" s="109" t="s">
        <v>29</v>
      </c>
      <c r="U21" s="6" t="s">
        <v>14</v>
      </c>
      <c r="V21" s="107" t="s">
        <v>37</v>
      </c>
      <c r="W21" s="108"/>
      <c r="Z21" s="109" t="s">
        <v>29</v>
      </c>
      <c r="AA21" s="6" t="s">
        <v>14</v>
      </c>
      <c r="AB21" s="107" t="s">
        <v>37</v>
      </c>
      <c r="AC21" s="108"/>
      <c r="AI21" s="47" t="s">
        <v>56</v>
      </c>
      <c r="AJ21" s="84"/>
    </row>
    <row r="22" spans="2:36" x14ac:dyDescent="0.25">
      <c r="B22" s="110"/>
      <c r="C22" s="2" t="s">
        <v>15</v>
      </c>
      <c r="D22" s="137">
        <v>6506555</v>
      </c>
      <c r="E22" s="101"/>
      <c r="F22" s="9"/>
      <c r="H22" s="110"/>
      <c r="I22" s="2" t="s">
        <v>15</v>
      </c>
      <c r="J22" s="137">
        <v>19650607</v>
      </c>
      <c r="K22" s="101"/>
      <c r="N22" s="110"/>
      <c r="O22" s="2" t="s">
        <v>15</v>
      </c>
      <c r="P22" s="100" t="s">
        <v>38</v>
      </c>
      <c r="Q22" s="101"/>
      <c r="T22" s="110"/>
      <c r="U22" s="2" t="s">
        <v>15</v>
      </c>
      <c r="V22" s="100" t="s">
        <v>38</v>
      </c>
      <c r="W22" s="101"/>
      <c r="Z22" s="110"/>
      <c r="AA22" s="2" t="s">
        <v>15</v>
      </c>
      <c r="AB22" s="100" t="s">
        <v>38</v>
      </c>
      <c r="AC22" s="101"/>
    </row>
    <row r="23" spans="2:36" x14ac:dyDescent="0.25">
      <c r="B23" s="110"/>
      <c r="C23" s="2" t="s">
        <v>16</v>
      </c>
      <c r="D23" s="100" t="s">
        <v>76</v>
      </c>
      <c r="E23" s="101"/>
      <c r="F23" s="9"/>
      <c r="H23" s="110"/>
      <c r="I23" s="2" t="s">
        <v>16</v>
      </c>
      <c r="J23" s="100" t="s">
        <v>77</v>
      </c>
      <c r="K23" s="101"/>
      <c r="N23" s="110"/>
      <c r="O23" s="2" t="s">
        <v>16</v>
      </c>
      <c r="P23" s="100" t="s">
        <v>39</v>
      </c>
      <c r="Q23" s="101"/>
      <c r="T23" s="110"/>
      <c r="U23" s="2" t="s">
        <v>16</v>
      </c>
      <c r="V23" s="100" t="s">
        <v>39</v>
      </c>
      <c r="W23" s="101"/>
      <c r="Z23" s="110"/>
      <c r="AA23" s="2" t="s">
        <v>16</v>
      </c>
      <c r="AB23" s="100" t="s">
        <v>39</v>
      </c>
      <c r="AC23" s="101"/>
    </row>
    <row r="24" spans="2:36" ht="15.75" thickBot="1" x14ac:dyDescent="0.3">
      <c r="B24" s="111"/>
      <c r="C24" s="3" t="s">
        <v>17</v>
      </c>
      <c r="D24" s="58" t="s">
        <v>78</v>
      </c>
      <c r="E24" s="59"/>
      <c r="F24" s="9"/>
      <c r="H24" s="111"/>
      <c r="I24" s="3" t="s">
        <v>17</v>
      </c>
      <c r="J24" s="102" t="s">
        <v>79</v>
      </c>
      <c r="K24" s="103"/>
      <c r="N24" s="111"/>
      <c r="O24" s="3" t="s">
        <v>17</v>
      </c>
      <c r="P24" s="102" t="s">
        <v>40</v>
      </c>
      <c r="Q24" s="103"/>
      <c r="T24" s="111"/>
      <c r="U24" s="3" t="s">
        <v>17</v>
      </c>
      <c r="V24" s="102" t="s">
        <v>40</v>
      </c>
      <c r="W24" s="103"/>
      <c r="Z24" s="111"/>
      <c r="AA24" s="3" t="s">
        <v>17</v>
      </c>
      <c r="AB24" s="102" t="s">
        <v>40</v>
      </c>
      <c r="AC24" s="103"/>
    </row>
    <row r="25" spans="2:36" x14ac:dyDescent="0.25">
      <c r="B25" s="109" t="s">
        <v>30</v>
      </c>
      <c r="C25" s="6" t="s">
        <v>18</v>
      </c>
      <c r="D25" s="135" t="s">
        <v>80</v>
      </c>
      <c r="E25" s="136"/>
      <c r="F25" s="9"/>
      <c r="H25" s="109" t="s">
        <v>30</v>
      </c>
      <c r="I25" s="6" t="s">
        <v>18</v>
      </c>
      <c r="J25" s="107" t="s">
        <v>81</v>
      </c>
      <c r="K25" s="108"/>
      <c r="N25" s="109" t="s">
        <v>30</v>
      </c>
      <c r="O25" s="6" t="s">
        <v>18</v>
      </c>
      <c r="P25" s="107" t="s">
        <v>41</v>
      </c>
      <c r="Q25" s="108"/>
      <c r="T25" s="109" t="s">
        <v>30</v>
      </c>
      <c r="U25" s="6" t="s">
        <v>18</v>
      </c>
      <c r="V25" s="107" t="s">
        <v>41</v>
      </c>
      <c r="W25" s="108"/>
      <c r="Z25" s="109" t="s">
        <v>30</v>
      </c>
      <c r="AA25" s="6" t="s">
        <v>18</v>
      </c>
      <c r="AB25" s="107" t="s">
        <v>41</v>
      </c>
      <c r="AC25" s="108"/>
    </row>
    <row r="26" spans="2:36" x14ac:dyDescent="0.25">
      <c r="B26" s="110"/>
      <c r="C26" s="2" t="s">
        <v>15</v>
      </c>
      <c r="D26" s="137">
        <v>15584882</v>
      </c>
      <c r="E26" s="101"/>
      <c r="F26" s="9"/>
      <c r="H26" s="110"/>
      <c r="I26" s="2" t="s">
        <v>15</v>
      </c>
      <c r="J26" s="137">
        <v>9413629</v>
      </c>
      <c r="K26" s="101"/>
      <c r="N26" s="110"/>
      <c r="O26" s="2" t="s">
        <v>15</v>
      </c>
      <c r="P26" s="100" t="s">
        <v>38</v>
      </c>
      <c r="Q26" s="101"/>
      <c r="T26" s="110"/>
      <c r="U26" s="2" t="s">
        <v>15</v>
      </c>
      <c r="V26" s="100" t="s">
        <v>38</v>
      </c>
      <c r="W26" s="101"/>
      <c r="Z26" s="110"/>
      <c r="AA26" s="2" t="s">
        <v>15</v>
      </c>
      <c r="AB26" s="100" t="s">
        <v>38</v>
      </c>
      <c r="AC26" s="101"/>
    </row>
    <row r="27" spans="2:36" x14ac:dyDescent="0.25">
      <c r="B27" s="110"/>
      <c r="C27" s="2" t="s">
        <v>16</v>
      </c>
      <c r="D27" s="100" t="s">
        <v>82</v>
      </c>
      <c r="E27" s="101"/>
      <c r="F27" s="9"/>
      <c r="H27" s="110"/>
      <c r="I27" s="2" t="s">
        <v>16</v>
      </c>
      <c r="J27" s="100" t="s">
        <v>83</v>
      </c>
      <c r="K27" s="101"/>
      <c r="N27" s="110"/>
      <c r="O27" s="2" t="s">
        <v>16</v>
      </c>
      <c r="P27" s="100" t="s">
        <v>39</v>
      </c>
      <c r="Q27" s="101"/>
      <c r="T27" s="110"/>
      <c r="U27" s="2" t="s">
        <v>16</v>
      </c>
      <c r="V27" s="100" t="s">
        <v>39</v>
      </c>
      <c r="W27" s="101"/>
      <c r="Z27" s="110"/>
      <c r="AA27" s="2" t="s">
        <v>16</v>
      </c>
      <c r="AB27" s="100" t="s">
        <v>39</v>
      </c>
      <c r="AC27" s="101"/>
    </row>
    <row r="28" spans="2:36" x14ac:dyDescent="0.25">
      <c r="B28" s="110"/>
      <c r="C28" s="2" t="s">
        <v>19</v>
      </c>
      <c r="D28" s="100" t="s">
        <v>84</v>
      </c>
      <c r="E28" s="101"/>
      <c r="F28" s="9"/>
      <c r="H28" s="110"/>
      <c r="I28" s="2" t="s">
        <v>19</v>
      </c>
      <c r="J28" s="100" t="s">
        <v>84</v>
      </c>
      <c r="K28" s="101"/>
      <c r="N28" s="110"/>
      <c r="O28" s="2" t="s">
        <v>19</v>
      </c>
      <c r="P28" s="100" t="s">
        <v>42</v>
      </c>
      <c r="Q28" s="101"/>
      <c r="T28" s="110"/>
      <c r="U28" s="2" t="s">
        <v>19</v>
      </c>
      <c r="V28" s="100" t="s">
        <v>42</v>
      </c>
      <c r="W28" s="101"/>
      <c r="Z28" s="110"/>
      <c r="AA28" s="2" t="s">
        <v>19</v>
      </c>
      <c r="AB28" s="100" t="s">
        <v>42</v>
      </c>
      <c r="AC28" s="101"/>
    </row>
    <row r="29" spans="2:36" x14ac:dyDescent="0.25">
      <c r="B29" s="110"/>
      <c r="C29" s="2" t="s">
        <v>20</v>
      </c>
      <c r="D29" s="100" t="s">
        <v>85</v>
      </c>
      <c r="E29" s="101"/>
      <c r="F29" s="9"/>
      <c r="H29" s="110"/>
      <c r="I29" s="2" t="s">
        <v>20</v>
      </c>
      <c r="J29" s="100">
        <v>15</v>
      </c>
      <c r="K29" s="101"/>
      <c r="N29" s="110"/>
      <c r="O29" s="2" t="s">
        <v>20</v>
      </c>
      <c r="P29" s="100" t="s">
        <v>8</v>
      </c>
      <c r="Q29" s="101"/>
      <c r="T29" s="110"/>
      <c r="U29" s="2" t="s">
        <v>20</v>
      </c>
      <c r="V29" s="100" t="s">
        <v>8</v>
      </c>
      <c r="W29" s="101"/>
      <c r="Z29" s="110"/>
      <c r="AA29" s="2" t="s">
        <v>20</v>
      </c>
      <c r="AB29" s="100" t="s">
        <v>8</v>
      </c>
      <c r="AC29" s="101"/>
    </row>
    <row r="30" spans="2:36" ht="15.75" thickBot="1" x14ac:dyDescent="0.3">
      <c r="B30" s="111"/>
      <c r="C30" s="3" t="s">
        <v>21</v>
      </c>
      <c r="D30" s="102" t="s">
        <v>86</v>
      </c>
      <c r="E30" s="103"/>
      <c r="F30" s="9"/>
      <c r="H30" s="111"/>
      <c r="I30" s="3" t="s">
        <v>21</v>
      </c>
      <c r="J30" s="102">
        <v>5</v>
      </c>
      <c r="K30" s="103"/>
      <c r="N30" s="111"/>
      <c r="O30" s="3" t="s">
        <v>21</v>
      </c>
      <c r="P30" s="102" t="s">
        <v>8</v>
      </c>
      <c r="Q30" s="103"/>
      <c r="T30" s="111"/>
      <c r="U30" s="3" t="s">
        <v>21</v>
      </c>
      <c r="V30" s="102" t="s">
        <v>8</v>
      </c>
      <c r="W30" s="103"/>
      <c r="Z30" s="111"/>
      <c r="AA30" s="3" t="s">
        <v>21</v>
      </c>
      <c r="AB30" s="102" t="s">
        <v>8</v>
      </c>
      <c r="AC30" s="103"/>
    </row>
    <row r="31" spans="2:36" x14ac:dyDescent="0.25">
      <c r="B31" s="104" t="s">
        <v>32</v>
      </c>
      <c r="C31" s="6" t="s">
        <v>23</v>
      </c>
      <c r="D31" s="107" t="s">
        <v>87</v>
      </c>
      <c r="E31" s="108"/>
      <c r="F31" s="9"/>
      <c r="H31" s="104" t="s">
        <v>32</v>
      </c>
      <c r="I31" s="6" t="s">
        <v>23</v>
      </c>
      <c r="J31" s="107" t="s">
        <v>87</v>
      </c>
      <c r="K31" s="108"/>
      <c r="N31" s="104" t="s">
        <v>32</v>
      </c>
      <c r="O31" s="6" t="s">
        <v>23</v>
      </c>
      <c r="P31" s="107" t="s">
        <v>22</v>
      </c>
      <c r="Q31" s="108"/>
      <c r="T31" s="104" t="s">
        <v>32</v>
      </c>
      <c r="U31" s="6" t="s">
        <v>23</v>
      </c>
      <c r="V31" s="107" t="s">
        <v>22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6" x14ac:dyDescent="0.25">
      <c r="B32" s="105"/>
      <c r="C32" s="2" t="s">
        <v>24</v>
      </c>
      <c r="D32" s="112" t="s">
        <v>87</v>
      </c>
      <c r="E32" s="113"/>
      <c r="F32" s="9"/>
      <c r="H32" s="105"/>
      <c r="I32" s="2" t="s">
        <v>24</v>
      </c>
      <c r="J32" s="112" t="s">
        <v>87</v>
      </c>
      <c r="K32" s="113"/>
      <c r="N32" s="105"/>
      <c r="O32" s="2" t="s">
        <v>24</v>
      </c>
      <c r="P32" s="112" t="s">
        <v>22</v>
      </c>
      <c r="Q32" s="113"/>
      <c r="T32" s="105"/>
      <c r="U32" s="2" t="s">
        <v>24</v>
      </c>
      <c r="V32" s="112" t="s">
        <v>22</v>
      </c>
      <c r="W32" s="113"/>
      <c r="Z32" s="105"/>
      <c r="AA32" s="2" t="s">
        <v>24</v>
      </c>
      <c r="AB32" s="112" t="s">
        <v>22</v>
      </c>
      <c r="AC32" s="113"/>
    </row>
    <row r="33" spans="2:36" x14ac:dyDescent="0.25">
      <c r="B33" s="105"/>
      <c r="C33" s="2" t="s">
        <v>25</v>
      </c>
      <c r="D33" s="112" t="s">
        <v>87</v>
      </c>
      <c r="E33" s="113"/>
      <c r="F33" s="9"/>
      <c r="H33" s="105"/>
      <c r="I33" s="2" t="s">
        <v>25</v>
      </c>
      <c r="J33" s="112" t="s">
        <v>87</v>
      </c>
      <c r="K33" s="113"/>
      <c r="N33" s="105"/>
      <c r="O33" s="2" t="s">
        <v>25</v>
      </c>
      <c r="P33" s="112" t="s">
        <v>22</v>
      </c>
      <c r="Q33" s="113"/>
      <c r="T33" s="105"/>
      <c r="U33" s="2" t="s">
        <v>25</v>
      </c>
      <c r="V33" s="112" t="s">
        <v>22</v>
      </c>
      <c r="W33" s="113"/>
      <c r="Z33" s="105"/>
      <c r="AA33" s="2" t="s">
        <v>25</v>
      </c>
      <c r="AB33" s="112" t="s">
        <v>22</v>
      </c>
      <c r="AC33" s="113"/>
    </row>
    <row r="34" spans="2:36" ht="15.75" thickBot="1" x14ac:dyDescent="0.3">
      <c r="B34" s="105"/>
      <c r="C34" s="7" t="s">
        <v>26</v>
      </c>
      <c r="D34" s="114" t="s">
        <v>88</v>
      </c>
      <c r="E34" s="115"/>
      <c r="F34" s="9"/>
      <c r="H34" s="105"/>
      <c r="I34" s="7" t="s">
        <v>26</v>
      </c>
      <c r="J34" s="114" t="s">
        <v>87</v>
      </c>
      <c r="K34" s="115"/>
      <c r="N34" s="105"/>
      <c r="O34" s="7" t="s">
        <v>26</v>
      </c>
      <c r="P34" s="114" t="s">
        <v>22</v>
      </c>
      <c r="Q34" s="115"/>
      <c r="T34" s="105"/>
      <c r="U34" s="7" t="s">
        <v>26</v>
      </c>
      <c r="V34" s="114" t="s">
        <v>22</v>
      </c>
      <c r="W34" s="115"/>
      <c r="Z34" s="105"/>
      <c r="AA34" s="7" t="s">
        <v>26</v>
      </c>
      <c r="AB34" s="114" t="s">
        <v>22</v>
      </c>
      <c r="AC34" s="115"/>
    </row>
    <row r="35" spans="2:36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  <c r="AF35" s="21"/>
    </row>
    <row r="36" spans="2:36" x14ac:dyDescent="0.25">
      <c r="B36" s="110"/>
      <c r="C36" s="119" t="s">
        <v>89</v>
      </c>
      <c r="D36" s="120"/>
      <c r="E36" s="120"/>
      <c r="F36" s="121"/>
      <c r="H36" s="110"/>
      <c r="I36" s="119" t="s">
        <v>90</v>
      </c>
      <c r="J36" s="120"/>
      <c r="K36" s="120"/>
      <c r="L36" s="121"/>
      <c r="N36" s="110"/>
      <c r="O36" s="119" t="s">
        <v>43</v>
      </c>
      <c r="P36" s="120"/>
      <c r="Q36" s="120"/>
      <c r="R36" s="121"/>
      <c r="T36" s="110"/>
      <c r="U36" s="119" t="s">
        <v>43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  <c r="AF36" s="22"/>
    </row>
    <row r="37" spans="2:36" x14ac:dyDescent="0.25">
      <c r="B37" s="110"/>
      <c r="C37" s="122" t="s">
        <v>43</v>
      </c>
      <c r="D37" s="123"/>
      <c r="E37" s="123"/>
      <c r="F37" s="124"/>
      <c r="H37" s="110"/>
      <c r="I37" s="122" t="s">
        <v>43</v>
      </c>
      <c r="J37" s="123"/>
      <c r="K37" s="123"/>
      <c r="L37" s="124"/>
      <c r="N37" s="110"/>
      <c r="O37" s="122" t="s">
        <v>43</v>
      </c>
      <c r="P37" s="123"/>
      <c r="Q37" s="123"/>
      <c r="R37" s="124"/>
      <c r="T37" s="110"/>
      <c r="U37" s="122" t="s">
        <v>43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  <c r="AF37" s="22"/>
    </row>
    <row r="38" spans="2:36" x14ac:dyDescent="0.25">
      <c r="B38" s="110"/>
      <c r="C38" s="122" t="s">
        <v>43</v>
      </c>
      <c r="D38" s="123"/>
      <c r="E38" s="123"/>
      <c r="F38" s="124"/>
      <c r="H38" s="110"/>
      <c r="I38" s="122" t="s">
        <v>43</v>
      </c>
      <c r="J38" s="123"/>
      <c r="K38" s="123"/>
      <c r="L38" s="124"/>
      <c r="N38" s="110"/>
      <c r="O38" s="122" t="s">
        <v>43</v>
      </c>
      <c r="P38" s="123"/>
      <c r="Q38" s="123"/>
      <c r="R38" s="124"/>
      <c r="T38" s="110"/>
      <c r="U38" s="122" t="s">
        <v>43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  <c r="AF38" s="22"/>
    </row>
    <row r="39" spans="2:36" ht="15.75" thickBot="1" x14ac:dyDescent="0.3">
      <c r="B39" s="111"/>
      <c r="C39" s="125" t="s">
        <v>43</v>
      </c>
      <c r="D39" s="126"/>
      <c r="E39" s="126"/>
      <c r="F39" s="127"/>
      <c r="H39" s="111"/>
      <c r="I39" s="125" t="s">
        <v>43</v>
      </c>
      <c r="J39" s="126"/>
      <c r="K39" s="126"/>
      <c r="L39" s="127"/>
      <c r="N39" s="111"/>
      <c r="O39" s="125" t="s">
        <v>43</v>
      </c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  <c r="AF39" s="22"/>
    </row>
    <row r="40" spans="2:36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G40" s="18"/>
      <c r="AJ40" s="11"/>
    </row>
    <row r="41" spans="2:36" s="9" customFormat="1" x14ac:dyDescent="0.25">
      <c r="B41" s="10"/>
      <c r="C41" s="13" t="s">
        <v>44</v>
      </c>
      <c r="D41" s="130" t="s">
        <v>91</v>
      </c>
      <c r="E41" s="131"/>
      <c r="F41" s="132"/>
      <c r="H41" s="10"/>
      <c r="I41" s="13" t="s">
        <v>44</v>
      </c>
      <c r="J41" s="130" t="s">
        <v>91</v>
      </c>
      <c r="K41" s="131"/>
      <c r="L41" s="132"/>
      <c r="N41" s="10"/>
      <c r="O41" s="13" t="s">
        <v>44</v>
      </c>
      <c r="P41" s="130" t="s">
        <v>47</v>
      </c>
      <c r="Q41" s="131"/>
      <c r="R41" s="132"/>
      <c r="T41" s="10"/>
      <c r="U41" s="13" t="s">
        <v>44</v>
      </c>
      <c r="V41" s="130" t="s">
        <v>47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23"/>
      <c r="AG41" s="18"/>
      <c r="AJ41" s="11"/>
    </row>
    <row r="42" spans="2:36" s="9" customFormat="1" ht="15.75" thickBot="1" x14ac:dyDescent="0.3">
      <c r="B42" s="10"/>
      <c r="C42" s="14" t="s">
        <v>45</v>
      </c>
      <c r="D42" s="128" t="s">
        <v>92</v>
      </c>
      <c r="E42" s="128"/>
      <c r="F42" s="129"/>
      <c r="H42" s="10"/>
      <c r="I42" s="14" t="s">
        <v>45</v>
      </c>
      <c r="J42" s="128" t="s">
        <v>92</v>
      </c>
      <c r="K42" s="128"/>
      <c r="L42" s="129"/>
      <c r="N42" s="10"/>
      <c r="O42" s="14" t="s">
        <v>45</v>
      </c>
      <c r="P42" s="128" t="s">
        <v>46</v>
      </c>
      <c r="Q42" s="128"/>
      <c r="R42" s="129"/>
      <c r="T42" s="10"/>
      <c r="U42" s="14" t="s">
        <v>45</v>
      </c>
      <c r="V42" s="128" t="s">
        <v>46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23"/>
      <c r="AG42" s="18"/>
      <c r="AJ42" s="11"/>
    </row>
    <row r="43" spans="2:36" s="9" customFormat="1" x14ac:dyDescent="0.25">
      <c r="B43" s="10"/>
      <c r="D43" s="11"/>
      <c r="AG43" s="18"/>
      <c r="AJ43" s="11"/>
    </row>
    <row r="44" spans="2:36" s="9" customFormat="1" x14ac:dyDescent="0.25">
      <c r="B44" s="10"/>
      <c r="D44" s="11"/>
      <c r="AG44" s="18"/>
      <c r="AJ44" s="11"/>
    </row>
    <row r="45" spans="2:36" s="9" customFormat="1" x14ac:dyDescent="0.25">
      <c r="B45" s="10"/>
      <c r="D45" s="11"/>
      <c r="AG45" s="18"/>
      <c r="AJ45" s="11"/>
    </row>
    <row r="46" spans="2:36" s="9" customFormat="1" x14ac:dyDescent="0.25">
      <c r="B46" s="10"/>
      <c r="D46" s="11"/>
      <c r="AG46" s="18"/>
      <c r="AJ46" s="11"/>
    </row>
    <row r="47" spans="2:36" s="9" customFormat="1" x14ac:dyDescent="0.25">
      <c r="B47" s="10"/>
      <c r="D47" s="11"/>
      <c r="AG47" s="18"/>
      <c r="AJ47" s="11"/>
    </row>
    <row r="48" spans="2:36" s="9" customFormat="1" x14ac:dyDescent="0.25">
      <c r="B48" s="10"/>
      <c r="D48" s="11"/>
      <c r="AG48" s="18"/>
      <c r="AJ48" s="11"/>
    </row>
    <row r="49" spans="2:36" s="9" customFormat="1" x14ac:dyDescent="0.25">
      <c r="B49" s="10"/>
      <c r="D49" s="11"/>
      <c r="AG49" s="18"/>
      <c r="AJ49" s="11"/>
    </row>
    <row r="50" spans="2:36" s="9" customFormat="1" x14ac:dyDescent="0.25">
      <c r="B50" s="10"/>
      <c r="D50" s="11"/>
      <c r="AG50" s="18"/>
      <c r="AJ50" s="11"/>
    </row>
    <row r="51" spans="2:36" s="9" customFormat="1" x14ac:dyDescent="0.25">
      <c r="B51" s="10"/>
      <c r="D51" s="11"/>
      <c r="AG51" s="18"/>
      <c r="AJ51" s="11"/>
    </row>
    <row r="52" spans="2:36" s="9" customFormat="1" x14ac:dyDescent="0.25">
      <c r="B52" s="10"/>
      <c r="D52" s="11"/>
      <c r="AG52" s="18"/>
      <c r="AJ52" s="11"/>
    </row>
    <row r="53" spans="2:36" s="9" customFormat="1" x14ac:dyDescent="0.25">
      <c r="B53" s="10"/>
      <c r="D53" s="11"/>
      <c r="AG53" s="18"/>
      <c r="AJ53" s="11"/>
    </row>
    <row r="54" spans="2:36" s="9" customFormat="1" x14ac:dyDescent="0.25">
      <c r="B54" s="10"/>
      <c r="D54" s="11"/>
      <c r="AG54" s="18"/>
      <c r="AJ54" s="11"/>
    </row>
    <row r="55" spans="2:36" s="9" customFormat="1" x14ac:dyDescent="0.25">
      <c r="B55" s="10"/>
      <c r="D55" s="11"/>
      <c r="AG55" s="18"/>
      <c r="AJ55" s="11"/>
    </row>
    <row r="56" spans="2:36" s="9" customFormat="1" x14ac:dyDescent="0.25">
      <c r="B56" s="10"/>
      <c r="D56" s="11"/>
      <c r="AG56" s="18"/>
      <c r="AJ56" s="11"/>
    </row>
    <row r="57" spans="2:36" s="9" customFormat="1" x14ac:dyDescent="0.25">
      <c r="B57" s="10"/>
      <c r="D57" s="11"/>
      <c r="AG57" s="18"/>
      <c r="AJ57" s="11"/>
    </row>
    <row r="58" spans="2:36" s="9" customFormat="1" x14ac:dyDescent="0.25">
      <c r="B58" s="10"/>
      <c r="D58" s="11"/>
      <c r="AG58" s="18"/>
      <c r="AJ58" s="11"/>
    </row>
    <row r="59" spans="2:36" s="9" customFormat="1" x14ac:dyDescent="0.25">
      <c r="B59" s="10"/>
      <c r="D59" s="11"/>
      <c r="AG59" s="18"/>
      <c r="AJ59" s="11"/>
    </row>
    <row r="60" spans="2:36" s="9" customFormat="1" x14ac:dyDescent="0.25">
      <c r="B60" s="10"/>
      <c r="D60" s="11"/>
      <c r="AG60" s="18"/>
      <c r="AJ60" s="11"/>
    </row>
    <row r="61" spans="2:36" s="9" customFormat="1" x14ac:dyDescent="0.25">
      <c r="B61" s="10"/>
      <c r="D61" s="11"/>
      <c r="AG61" s="18"/>
      <c r="AJ61" s="11"/>
    </row>
    <row r="62" spans="2:36" s="9" customFormat="1" x14ac:dyDescent="0.25">
      <c r="B62" s="10"/>
      <c r="D62" s="11"/>
      <c r="AG62" s="18"/>
      <c r="AJ62" s="11"/>
    </row>
    <row r="63" spans="2:36" s="9" customFormat="1" x14ac:dyDescent="0.25">
      <c r="B63" s="10"/>
      <c r="D63" s="11"/>
      <c r="AG63" s="18"/>
      <c r="AJ63" s="11"/>
    </row>
    <row r="64" spans="2:36" s="9" customFormat="1" x14ac:dyDescent="0.25">
      <c r="B64" s="10"/>
      <c r="D64" s="11"/>
      <c r="AG64" s="18"/>
      <c r="AJ64" s="11"/>
    </row>
    <row r="65" spans="2:36" s="9" customFormat="1" x14ac:dyDescent="0.25">
      <c r="B65" s="10"/>
      <c r="D65" s="11"/>
      <c r="AG65" s="18"/>
      <c r="AJ65" s="11"/>
    </row>
    <row r="66" spans="2:36" s="9" customFormat="1" x14ac:dyDescent="0.25">
      <c r="B66" s="10"/>
      <c r="D66" s="11"/>
      <c r="AG66" s="18"/>
      <c r="AJ66" s="11"/>
    </row>
    <row r="67" spans="2:36" s="9" customFormat="1" x14ac:dyDescent="0.25">
      <c r="B67" s="10"/>
      <c r="D67" s="11"/>
      <c r="AG67" s="18"/>
      <c r="AJ67" s="11"/>
    </row>
    <row r="68" spans="2:36" s="9" customFormat="1" x14ac:dyDescent="0.25">
      <c r="B68" s="10"/>
      <c r="D68" s="11"/>
      <c r="AG68" s="18"/>
      <c r="AJ68" s="11"/>
    </row>
    <row r="69" spans="2:36" s="9" customFormat="1" x14ac:dyDescent="0.25">
      <c r="B69" s="10"/>
      <c r="D69" s="11"/>
      <c r="AG69" s="18"/>
      <c r="AJ69" s="11"/>
    </row>
    <row r="70" spans="2:36" s="9" customFormat="1" x14ac:dyDescent="0.25">
      <c r="B70" s="10"/>
      <c r="D70" s="11"/>
      <c r="AG70" s="18"/>
      <c r="AJ70" s="11"/>
    </row>
    <row r="71" spans="2:36" s="9" customFormat="1" x14ac:dyDescent="0.25">
      <c r="B71" s="10"/>
      <c r="D71" s="11"/>
      <c r="AG71" s="18"/>
      <c r="AJ71" s="11"/>
    </row>
    <row r="72" spans="2:36" s="9" customFormat="1" x14ac:dyDescent="0.25">
      <c r="B72" s="10"/>
      <c r="D72" s="11"/>
      <c r="AG72" s="18"/>
      <c r="AJ72" s="11"/>
    </row>
    <row r="73" spans="2:36" s="9" customFormat="1" x14ac:dyDescent="0.25">
      <c r="B73" s="10"/>
      <c r="D73" s="11"/>
      <c r="AG73" s="18"/>
      <c r="AJ73" s="11"/>
    </row>
    <row r="74" spans="2:36" s="9" customFormat="1" x14ac:dyDescent="0.25">
      <c r="B74" s="10"/>
      <c r="D74" s="11"/>
      <c r="AG74" s="18"/>
      <c r="AJ74" s="11"/>
    </row>
    <row r="75" spans="2:36" s="9" customFormat="1" x14ac:dyDescent="0.25">
      <c r="B75" s="10"/>
      <c r="D75" s="11"/>
      <c r="AG75" s="18"/>
      <c r="AJ75" s="11"/>
    </row>
    <row r="76" spans="2:36" s="9" customFormat="1" x14ac:dyDescent="0.25">
      <c r="B76" s="10"/>
      <c r="D76" s="11"/>
      <c r="AG76" s="18"/>
      <c r="AJ76" s="11"/>
    </row>
    <row r="77" spans="2:36" s="9" customFormat="1" x14ac:dyDescent="0.25">
      <c r="B77" s="10"/>
      <c r="D77" s="11"/>
      <c r="AG77" s="18"/>
      <c r="AJ77" s="11"/>
    </row>
    <row r="78" spans="2:36" s="9" customFormat="1" x14ac:dyDescent="0.25">
      <c r="B78" s="10"/>
      <c r="D78" s="11"/>
      <c r="AG78" s="18"/>
      <c r="AJ78" s="11"/>
    </row>
    <row r="79" spans="2:36" s="9" customFormat="1" x14ac:dyDescent="0.25">
      <c r="B79" s="10"/>
      <c r="D79" s="11"/>
      <c r="AG79" s="18"/>
      <c r="AJ79" s="11"/>
    </row>
    <row r="80" spans="2:36" s="9" customFormat="1" x14ac:dyDescent="0.25">
      <c r="B80" s="10"/>
      <c r="D80" s="11"/>
      <c r="AG80" s="18"/>
      <c r="AJ80" s="11"/>
    </row>
    <row r="81" spans="2:36" s="9" customFormat="1" x14ac:dyDescent="0.25">
      <c r="B81" s="10"/>
      <c r="D81" s="11"/>
      <c r="AG81" s="18"/>
      <c r="AJ81" s="11"/>
    </row>
    <row r="82" spans="2:36" s="9" customFormat="1" x14ac:dyDescent="0.25">
      <c r="B82" s="10"/>
      <c r="D82" s="11"/>
      <c r="AG82" s="18"/>
      <c r="AJ82" s="11"/>
    </row>
    <row r="83" spans="2:36" s="9" customFormat="1" x14ac:dyDescent="0.25">
      <c r="B83" s="10"/>
      <c r="D83" s="11"/>
      <c r="AG83" s="18"/>
      <c r="AJ83" s="11"/>
    </row>
    <row r="84" spans="2:36" s="9" customFormat="1" x14ac:dyDescent="0.25">
      <c r="B84" s="10"/>
      <c r="D84" s="11"/>
      <c r="AG84" s="18"/>
      <c r="AJ84" s="11"/>
    </row>
    <row r="85" spans="2:36" s="9" customFormat="1" x14ac:dyDescent="0.25">
      <c r="B85" s="10"/>
      <c r="D85" s="11"/>
      <c r="AG85" s="18"/>
      <c r="AJ85" s="11"/>
    </row>
    <row r="86" spans="2:36" s="9" customFormat="1" x14ac:dyDescent="0.25">
      <c r="B86" s="10"/>
      <c r="D86" s="11"/>
      <c r="AG86" s="18"/>
      <c r="AJ86" s="11"/>
    </row>
    <row r="87" spans="2:36" s="9" customFormat="1" x14ac:dyDescent="0.25">
      <c r="B87" s="10"/>
      <c r="D87" s="11"/>
      <c r="AG87" s="18"/>
      <c r="AJ87" s="11"/>
    </row>
    <row r="88" spans="2:36" s="9" customFormat="1" x14ac:dyDescent="0.25">
      <c r="B88" s="10"/>
      <c r="D88" s="11"/>
      <c r="AG88" s="18"/>
      <c r="AJ88" s="11"/>
    </row>
    <row r="89" spans="2:36" s="9" customFormat="1" x14ac:dyDescent="0.25">
      <c r="B89" s="10"/>
      <c r="D89" s="11"/>
      <c r="AG89" s="18"/>
      <c r="AJ89" s="11"/>
    </row>
    <row r="90" spans="2:36" s="9" customFormat="1" x14ac:dyDescent="0.25">
      <c r="B90" s="10"/>
      <c r="D90" s="11"/>
      <c r="AG90" s="18"/>
      <c r="AJ90" s="11"/>
    </row>
    <row r="91" spans="2:36" s="9" customFormat="1" x14ac:dyDescent="0.25">
      <c r="B91" s="10"/>
      <c r="D91" s="11"/>
      <c r="AG91" s="18"/>
      <c r="AJ91" s="11"/>
    </row>
    <row r="92" spans="2:36" s="9" customFormat="1" x14ac:dyDescent="0.25">
      <c r="B92" s="10"/>
      <c r="D92" s="11"/>
      <c r="AG92" s="18"/>
      <c r="AJ92" s="11"/>
    </row>
    <row r="93" spans="2:36" s="9" customFormat="1" x14ac:dyDescent="0.25">
      <c r="B93" s="10"/>
      <c r="D93" s="11"/>
      <c r="AG93" s="18"/>
      <c r="AJ93" s="11"/>
    </row>
    <row r="94" spans="2:36" s="9" customFormat="1" x14ac:dyDescent="0.25">
      <c r="B94" s="10"/>
      <c r="D94" s="11"/>
      <c r="AG94" s="18"/>
      <c r="AJ94" s="11"/>
    </row>
    <row r="95" spans="2:36" s="9" customFormat="1" x14ac:dyDescent="0.25">
      <c r="B95" s="10"/>
      <c r="D95" s="11"/>
      <c r="AG95" s="18"/>
      <c r="AJ95" s="11"/>
    </row>
    <row r="96" spans="2:36" s="9" customFormat="1" x14ac:dyDescent="0.25">
      <c r="B96" s="10"/>
      <c r="D96" s="11"/>
      <c r="AG96" s="18"/>
      <c r="AJ96" s="11"/>
    </row>
    <row r="97" spans="2:36" s="9" customFormat="1" x14ac:dyDescent="0.25">
      <c r="B97" s="10"/>
      <c r="D97" s="11"/>
      <c r="AG97" s="18"/>
      <c r="AJ97" s="11"/>
    </row>
    <row r="98" spans="2:36" s="9" customFormat="1" x14ac:dyDescent="0.25">
      <c r="B98" s="10"/>
      <c r="D98" s="11"/>
      <c r="AG98" s="18"/>
      <c r="AJ98" s="11"/>
    </row>
    <row r="99" spans="2:36" s="9" customFormat="1" x14ac:dyDescent="0.25">
      <c r="B99" s="10"/>
      <c r="D99" s="11"/>
      <c r="AG99" s="18"/>
      <c r="AJ99" s="11"/>
    </row>
    <row r="100" spans="2:36" s="9" customFormat="1" x14ac:dyDescent="0.25">
      <c r="B100" s="10"/>
      <c r="D100" s="11"/>
      <c r="AG100" s="18"/>
      <c r="AJ100" s="11"/>
    </row>
    <row r="101" spans="2:36" s="9" customFormat="1" x14ac:dyDescent="0.25">
      <c r="B101" s="10"/>
      <c r="D101" s="11"/>
      <c r="AG101" s="18"/>
      <c r="AJ101" s="11"/>
    </row>
    <row r="102" spans="2:36" s="9" customFormat="1" x14ac:dyDescent="0.25">
      <c r="B102" s="10"/>
      <c r="D102" s="11"/>
      <c r="AG102" s="18"/>
      <c r="AJ102" s="11"/>
    </row>
    <row r="103" spans="2:36" s="9" customFormat="1" x14ac:dyDescent="0.25">
      <c r="B103" s="10"/>
      <c r="D103" s="11"/>
      <c r="AG103" s="18"/>
      <c r="AJ103" s="11"/>
    </row>
    <row r="104" spans="2:36" s="9" customFormat="1" x14ac:dyDescent="0.25">
      <c r="B104" s="10"/>
      <c r="D104" s="11"/>
      <c r="AG104" s="18"/>
      <c r="AJ104" s="11"/>
    </row>
    <row r="105" spans="2:36" s="9" customFormat="1" x14ac:dyDescent="0.25">
      <c r="B105" s="10"/>
      <c r="D105" s="11"/>
      <c r="AG105" s="18"/>
      <c r="AJ105" s="11"/>
    </row>
    <row r="106" spans="2:36" s="9" customFormat="1" x14ac:dyDescent="0.25">
      <c r="B106" s="10"/>
      <c r="D106" s="11"/>
      <c r="AG106" s="18"/>
      <c r="AJ106" s="11"/>
    </row>
    <row r="107" spans="2:36" s="9" customFormat="1" x14ac:dyDescent="0.25">
      <c r="B107" s="10"/>
      <c r="D107" s="11"/>
      <c r="AG107" s="18"/>
      <c r="AJ107" s="11"/>
    </row>
    <row r="108" spans="2:36" s="9" customFormat="1" x14ac:dyDescent="0.25">
      <c r="B108" s="10"/>
      <c r="D108" s="11"/>
      <c r="AG108" s="18"/>
      <c r="AJ108" s="11"/>
    </row>
    <row r="109" spans="2:36" s="9" customFormat="1" x14ac:dyDescent="0.25">
      <c r="B109" s="10"/>
      <c r="D109" s="11"/>
      <c r="AG109" s="18"/>
      <c r="AJ109" s="11"/>
    </row>
    <row r="110" spans="2:36" s="9" customFormat="1" x14ac:dyDescent="0.25">
      <c r="B110" s="10"/>
      <c r="D110" s="11"/>
      <c r="AG110" s="18"/>
      <c r="AJ110" s="11"/>
    </row>
    <row r="111" spans="2:36" s="9" customFormat="1" x14ac:dyDescent="0.25">
      <c r="B111" s="10"/>
      <c r="D111" s="11"/>
      <c r="AG111" s="18"/>
      <c r="AJ111" s="11"/>
    </row>
    <row r="112" spans="2:36" s="9" customFormat="1" x14ac:dyDescent="0.25">
      <c r="B112" s="10"/>
      <c r="D112" s="11"/>
      <c r="AG112" s="18"/>
      <c r="AJ112" s="11"/>
    </row>
    <row r="113" spans="2:36" s="9" customFormat="1" x14ac:dyDescent="0.25">
      <c r="B113" s="10"/>
      <c r="D113" s="11"/>
      <c r="AG113" s="18"/>
      <c r="AJ113" s="11"/>
    </row>
    <row r="114" spans="2:36" s="9" customFormat="1" x14ac:dyDescent="0.25">
      <c r="B114" s="10"/>
      <c r="D114" s="11"/>
      <c r="AG114" s="18"/>
      <c r="AJ114" s="11"/>
    </row>
    <row r="115" spans="2:36" s="9" customFormat="1" x14ac:dyDescent="0.25">
      <c r="B115" s="10"/>
      <c r="D115" s="11"/>
      <c r="AG115" s="18"/>
      <c r="AJ115" s="11"/>
    </row>
    <row r="116" spans="2:36" s="9" customFormat="1" x14ac:dyDescent="0.25">
      <c r="B116" s="10"/>
      <c r="D116" s="11"/>
      <c r="AG116" s="18"/>
      <c r="AJ116" s="11"/>
    </row>
    <row r="117" spans="2:36" s="9" customFormat="1" x14ac:dyDescent="0.25">
      <c r="B117" s="10"/>
      <c r="D117" s="11"/>
      <c r="AG117" s="18"/>
      <c r="AJ117" s="11"/>
    </row>
    <row r="118" spans="2:36" s="9" customFormat="1" x14ac:dyDescent="0.25">
      <c r="B118" s="10"/>
      <c r="D118" s="11"/>
      <c r="AG118" s="18"/>
      <c r="AJ118" s="11"/>
    </row>
    <row r="119" spans="2:36" s="9" customFormat="1" x14ac:dyDescent="0.25">
      <c r="B119" s="10"/>
      <c r="D119" s="11"/>
      <c r="AG119" s="18"/>
      <c r="AJ119" s="11"/>
    </row>
    <row r="120" spans="2:36" s="9" customFormat="1" x14ac:dyDescent="0.25">
      <c r="B120" s="10"/>
      <c r="D120" s="11"/>
      <c r="AG120" s="18"/>
      <c r="AJ120" s="11"/>
    </row>
    <row r="121" spans="2:36" s="9" customFormat="1" x14ac:dyDescent="0.25">
      <c r="B121" s="10"/>
      <c r="D121" s="11"/>
      <c r="AG121" s="18"/>
      <c r="AJ121" s="11"/>
    </row>
    <row r="122" spans="2:36" s="9" customFormat="1" x14ac:dyDescent="0.25">
      <c r="B122" s="10"/>
      <c r="D122" s="11"/>
      <c r="AG122" s="18"/>
      <c r="AJ122" s="11"/>
    </row>
    <row r="123" spans="2:36" s="9" customFormat="1" x14ac:dyDescent="0.25">
      <c r="B123" s="10"/>
      <c r="D123" s="11"/>
      <c r="AG123" s="18"/>
      <c r="AJ123" s="11"/>
    </row>
    <row r="124" spans="2:36" s="9" customFormat="1" x14ac:dyDescent="0.25">
      <c r="B124" s="10"/>
      <c r="D124" s="11"/>
      <c r="AG124" s="18"/>
      <c r="AJ124" s="11"/>
    </row>
    <row r="125" spans="2:36" s="9" customFormat="1" x14ac:dyDescent="0.25">
      <c r="B125" s="10"/>
      <c r="D125" s="11"/>
      <c r="AG125" s="18"/>
      <c r="AJ125" s="11"/>
    </row>
    <row r="126" spans="2:36" s="9" customFormat="1" x14ac:dyDescent="0.25">
      <c r="B126" s="10"/>
      <c r="D126" s="11"/>
      <c r="AG126" s="18"/>
      <c r="AJ126" s="11"/>
    </row>
    <row r="127" spans="2:36" s="9" customFormat="1" x14ac:dyDescent="0.25">
      <c r="B127" s="10"/>
      <c r="D127" s="11"/>
      <c r="AG127" s="18"/>
      <c r="AJ127" s="11"/>
    </row>
    <row r="128" spans="2:36" s="9" customFormat="1" x14ac:dyDescent="0.25">
      <c r="B128" s="10"/>
      <c r="D128" s="11"/>
      <c r="AG128" s="18"/>
      <c r="AJ128" s="11"/>
    </row>
    <row r="129" spans="2:36" s="9" customFormat="1" x14ac:dyDescent="0.25">
      <c r="B129" s="10"/>
      <c r="D129" s="11"/>
      <c r="AG129" s="18"/>
      <c r="AJ129" s="11"/>
    </row>
    <row r="130" spans="2:36" s="9" customFormat="1" x14ac:dyDescent="0.25">
      <c r="B130" s="10"/>
      <c r="D130" s="11"/>
      <c r="AG130" s="18"/>
      <c r="AJ130" s="11"/>
    </row>
    <row r="131" spans="2:36" s="9" customFormat="1" x14ac:dyDescent="0.25">
      <c r="B131" s="10"/>
      <c r="D131" s="11"/>
      <c r="AG131" s="18"/>
      <c r="AJ131" s="11"/>
    </row>
    <row r="132" spans="2:36" s="9" customFormat="1" x14ac:dyDescent="0.25">
      <c r="B132" s="10"/>
      <c r="D132" s="11"/>
      <c r="AG132" s="18"/>
      <c r="AJ132" s="11"/>
    </row>
    <row r="133" spans="2:36" s="9" customFormat="1" x14ac:dyDescent="0.25">
      <c r="B133" s="10"/>
      <c r="D133" s="11"/>
      <c r="AG133" s="18"/>
      <c r="AJ133" s="11"/>
    </row>
    <row r="134" spans="2:36" s="9" customFormat="1" x14ac:dyDescent="0.25">
      <c r="B134" s="10"/>
      <c r="D134" s="11"/>
      <c r="AG134" s="18"/>
      <c r="AJ134" s="11"/>
    </row>
    <row r="135" spans="2:36" s="9" customFormat="1" x14ac:dyDescent="0.25">
      <c r="B135" s="10"/>
      <c r="D135" s="11"/>
      <c r="AG135" s="18"/>
      <c r="AJ135" s="11"/>
    </row>
    <row r="136" spans="2:36" s="9" customFormat="1" x14ac:dyDescent="0.25">
      <c r="B136" s="10"/>
      <c r="D136" s="11"/>
      <c r="AG136" s="18"/>
      <c r="AJ136" s="11"/>
    </row>
    <row r="137" spans="2:36" s="9" customFormat="1" x14ac:dyDescent="0.25">
      <c r="B137" s="10"/>
      <c r="D137" s="11"/>
      <c r="AG137" s="18"/>
      <c r="AJ137" s="11"/>
    </row>
    <row r="138" spans="2:36" s="9" customFormat="1" x14ac:dyDescent="0.25">
      <c r="B138" s="10"/>
      <c r="D138" s="11"/>
      <c r="AG138" s="18"/>
      <c r="AJ138" s="11"/>
    </row>
    <row r="139" spans="2:36" s="9" customFormat="1" x14ac:dyDescent="0.25">
      <c r="B139" s="10"/>
      <c r="D139" s="11"/>
      <c r="AG139" s="18"/>
      <c r="AJ139" s="11"/>
    </row>
    <row r="140" spans="2:36" s="9" customFormat="1" x14ac:dyDescent="0.25">
      <c r="B140" s="10"/>
      <c r="D140" s="11"/>
      <c r="AG140" s="18"/>
      <c r="AJ140" s="11"/>
    </row>
    <row r="141" spans="2:36" s="9" customFormat="1" x14ac:dyDescent="0.25">
      <c r="B141" s="10"/>
      <c r="D141" s="11"/>
      <c r="AG141" s="18"/>
      <c r="AJ141" s="11"/>
    </row>
    <row r="142" spans="2:36" s="9" customFormat="1" x14ac:dyDescent="0.25">
      <c r="B142" s="10"/>
      <c r="D142" s="11"/>
      <c r="AG142" s="18"/>
      <c r="AJ142" s="11"/>
    </row>
    <row r="143" spans="2:36" s="9" customFormat="1" x14ac:dyDescent="0.25">
      <c r="B143" s="10"/>
      <c r="D143" s="11"/>
      <c r="AG143" s="18"/>
      <c r="AJ143" s="11"/>
    </row>
    <row r="144" spans="2:36" s="9" customFormat="1" x14ac:dyDescent="0.25">
      <c r="B144" s="10"/>
      <c r="D144" s="11"/>
      <c r="AG144" s="18"/>
      <c r="AJ144" s="11"/>
    </row>
    <row r="145" spans="2:36" s="9" customFormat="1" x14ac:dyDescent="0.25">
      <c r="B145" s="10"/>
      <c r="D145" s="11"/>
      <c r="AG145" s="18"/>
      <c r="AJ145" s="11"/>
    </row>
    <row r="146" spans="2:36" s="9" customFormat="1" x14ac:dyDescent="0.25">
      <c r="B146" s="10"/>
      <c r="D146" s="11"/>
      <c r="AG146" s="18"/>
      <c r="AJ146" s="11"/>
    </row>
    <row r="147" spans="2:36" s="9" customFormat="1" x14ac:dyDescent="0.25">
      <c r="B147" s="10"/>
      <c r="D147" s="11"/>
      <c r="AG147" s="18"/>
      <c r="AJ147" s="11"/>
    </row>
    <row r="148" spans="2:36" s="9" customFormat="1" x14ac:dyDescent="0.25">
      <c r="B148" s="10"/>
      <c r="D148" s="11"/>
      <c r="AG148" s="18"/>
      <c r="AJ148" s="11"/>
    </row>
    <row r="149" spans="2:36" s="9" customFormat="1" x14ac:dyDescent="0.25">
      <c r="B149" s="10"/>
      <c r="D149" s="11"/>
      <c r="AG149" s="18"/>
      <c r="AJ149" s="11"/>
    </row>
    <row r="150" spans="2:36" s="9" customFormat="1" x14ac:dyDescent="0.25">
      <c r="B150" s="10"/>
      <c r="D150" s="11"/>
      <c r="AG150" s="18"/>
      <c r="AJ150" s="11"/>
    </row>
    <row r="151" spans="2:36" s="9" customFormat="1" x14ac:dyDescent="0.25">
      <c r="B151" s="10"/>
      <c r="D151" s="11"/>
      <c r="AG151" s="18"/>
      <c r="AJ151" s="11"/>
    </row>
    <row r="152" spans="2:36" s="9" customFormat="1" x14ac:dyDescent="0.25">
      <c r="B152" s="10"/>
      <c r="D152" s="11"/>
      <c r="AG152" s="18"/>
      <c r="AJ152" s="11"/>
    </row>
  </sheetData>
  <mergeCells count="175">
    <mergeCell ref="AI2:AJ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  <mergeCell ref="B4:B15"/>
    <mergeCell ref="E4:F10"/>
    <mergeCell ref="H4:H15"/>
    <mergeCell ref="K4:L10"/>
    <mergeCell ref="N4:N15"/>
    <mergeCell ref="Q4:R10"/>
    <mergeCell ref="K15:L15"/>
    <mergeCell ref="Q15:R15"/>
    <mergeCell ref="V19:W19"/>
    <mergeCell ref="V17:W17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AB19:AC19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AB23:AC23"/>
    <mergeCell ref="J24:K24"/>
    <mergeCell ref="P24:Q24"/>
    <mergeCell ref="V24:W24"/>
    <mergeCell ref="AB24:AC24"/>
    <mergeCell ref="T21:T24"/>
    <mergeCell ref="V21:W21"/>
    <mergeCell ref="Z21:Z24"/>
    <mergeCell ref="AB21:AC21"/>
    <mergeCell ref="V23:W23"/>
    <mergeCell ref="D22:E22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85BF-0DEC-49CF-B0C7-F49502F579F7}">
  <sheetPr>
    <tabColor theme="5"/>
  </sheetPr>
  <dimension ref="A1:BI152"/>
  <sheetViews>
    <sheetView zoomScale="115" zoomScaleNormal="115" workbookViewId="0">
      <selection activeCell="E11" sqref="E11:F11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hidden="1" customWidth="1"/>
    <col min="9" max="9" width="21.85546875" style="9" hidden="1" customWidth="1"/>
    <col min="10" max="10" width="7.42578125" style="9" hidden="1" customWidth="1"/>
    <col min="11" max="12" width="11.42578125" style="9" hidden="1" customWidth="1"/>
    <col min="13" max="13" width="4" style="9" hidden="1" customWidth="1"/>
    <col min="14" max="14" width="0" style="9" hidden="1" customWidth="1"/>
    <col min="15" max="15" width="21.85546875" style="9" hidden="1" customWidth="1"/>
    <col min="16" max="16" width="7.42578125" style="9" hidden="1" customWidth="1"/>
    <col min="17" max="18" width="11.42578125" style="9" hidden="1" customWidth="1"/>
    <col min="19" max="19" width="4" style="9" hidden="1" customWidth="1"/>
    <col min="20" max="20" width="0" style="9" hidden="1" customWidth="1"/>
    <col min="21" max="21" width="21.85546875" style="9" hidden="1" customWidth="1"/>
    <col min="22" max="22" width="7.42578125" style="9" hidden="1" customWidth="1"/>
    <col min="23" max="24" width="11.42578125" style="9" hidden="1" customWidth="1"/>
    <col min="25" max="25" width="4.5703125" style="9" hidden="1" customWidth="1"/>
    <col min="26" max="26" width="11.42578125" style="9" hidden="1" customWidth="1"/>
    <col min="27" max="27" width="21.85546875" style="9" hidden="1" customWidth="1"/>
    <col min="28" max="30" width="11.42578125" style="9" hidden="1" customWidth="1"/>
    <col min="31" max="31" width="11.42578125" style="9" customWidth="1"/>
    <col min="32" max="32" width="3.42578125" style="9" customWidth="1"/>
    <col min="33" max="33" width="0.85546875" style="18" customWidth="1"/>
    <col min="34" max="34" width="11.42578125" style="9"/>
    <col min="35" max="35" width="24" style="9" customWidth="1"/>
    <col min="36" max="61" width="11.42578125" style="9"/>
  </cols>
  <sheetData>
    <row r="1" spans="1:61" s="9" customFormat="1" x14ac:dyDescent="0.25">
      <c r="B1" s="10"/>
      <c r="D1" s="11"/>
      <c r="AG1" s="18"/>
    </row>
    <row r="2" spans="1:61" s="9" customFormat="1" ht="28.5" customHeight="1" thickBot="1" x14ac:dyDescent="0.3">
      <c r="B2" s="10"/>
      <c r="D2" s="11"/>
      <c r="AG2" s="18"/>
      <c r="AI2" s="86" t="s">
        <v>53</v>
      </c>
      <c r="AJ2" s="86"/>
      <c r="AK2" s="26"/>
      <c r="AL2" s="26"/>
      <c r="AM2" s="26"/>
    </row>
    <row r="3" spans="1:61" ht="22.5" customHeight="1" thickBot="1" x14ac:dyDescent="0.3">
      <c r="C3" s="87" t="s">
        <v>498</v>
      </c>
      <c r="D3" s="88"/>
      <c r="E3" s="88"/>
      <c r="F3" s="89"/>
      <c r="H3" s="8"/>
      <c r="I3" s="87" t="s">
        <v>48</v>
      </c>
      <c r="J3" s="88"/>
      <c r="K3" s="88"/>
      <c r="L3" s="89"/>
      <c r="N3" s="8"/>
      <c r="O3" s="87" t="s">
        <v>48</v>
      </c>
      <c r="P3" s="88"/>
      <c r="Q3" s="88"/>
      <c r="R3" s="89"/>
      <c r="T3" s="8"/>
      <c r="U3" s="87" t="s">
        <v>48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F3" s="20"/>
      <c r="AI3" s="24"/>
      <c r="AJ3" s="24"/>
      <c r="AK3" s="24"/>
      <c r="AL3" s="24"/>
      <c r="AM3" s="24"/>
    </row>
    <row r="4" spans="1:61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16</v>
      </c>
      <c r="E4" s="94"/>
      <c r="F4" s="95"/>
      <c r="G4" s="29"/>
      <c r="H4" s="91" t="s">
        <v>9</v>
      </c>
      <c r="I4" s="27" t="s">
        <v>1</v>
      </c>
      <c r="J4" s="12">
        <f>J6+J7+J8+J9+J10+J11</f>
        <v>0</v>
      </c>
      <c r="K4" s="94"/>
      <c r="L4" s="95"/>
      <c r="M4" s="29"/>
      <c r="N4" s="91" t="s">
        <v>9</v>
      </c>
      <c r="O4" s="27" t="s">
        <v>1</v>
      </c>
      <c r="P4" s="12">
        <f>P6+P7+P8+P9+P10+P11</f>
        <v>0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0"/>
      <c r="AG4" s="31"/>
      <c r="AH4" s="29"/>
      <c r="AI4" s="28" t="s">
        <v>1</v>
      </c>
      <c r="AJ4" s="25">
        <f>J4+P4+V4</f>
        <v>0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5.75" customHeight="1" x14ac:dyDescent="0.25">
      <c r="B5" s="92"/>
      <c r="C5" s="6" t="s">
        <v>0</v>
      </c>
      <c r="D5" s="16">
        <v>6</v>
      </c>
      <c r="E5" s="96"/>
      <c r="F5" s="97"/>
      <c r="H5" s="92"/>
      <c r="I5" s="6" t="s">
        <v>0</v>
      </c>
      <c r="J5" s="16">
        <v>0</v>
      </c>
      <c r="K5" s="96"/>
      <c r="L5" s="97"/>
      <c r="N5" s="92"/>
      <c r="O5" s="6" t="s">
        <v>0</v>
      </c>
      <c r="P5" s="16">
        <v>0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F5" s="17"/>
      <c r="AI5" s="6" t="s">
        <v>0</v>
      </c>
      <c r="AJ5" s="16">
        <f>J5+P5+V5</f>
        <v>0</v>
      </c>
    </row>
    <row r="6" spans="1:61" ht="15.75" customHeight="1" x14ac:dyDescent="0.25">
      <c r="B6" s="92"/>
      <c r="C6" s="2" t="s">
        <v>2</v>
      </c>
      <c r="D6" s="4">
        <v>2</v>
      </c>
      <c r="E6" s="96"/>
      <c r="F6" s="97"/>
      <c r="H6" s="92"/>
      <c r="I6" s="2" t="s">
        <v>2</v>
      </c>
      <c r="J6" s="4">
        <v>0</v>
      </c>
      <c r="K6" s="96"/>
      <c r="L6" s="97"/>
      <c r="N6" s="92"/>
      <c r="O6" s="2" t="s">
        <v>2</v>
      </c>
      <c r="P6" s="4">
        <v>0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F6" s="17"/>
      <c r="AI6" s="2" t="s">
        <v>2</v>
      </c>
      <c r="AJ6" s="4">
        <f t="shared" ref="AJ6:AJ15" si="0">+J6+P6+V6</f>
        <v>0</v>
      </c>
    </row>
    <row r="7" spans="1:61" x14ac:dyDescent="0.25">
      <c r="B7" s="92"/>
      <c r="C7" s="2" t="s">
        <v>3</v>
      </c>
      <c r="D7" s="4">
        <v>4</v>
      </c>
      <c r="E7" s="96"/>
      <c r="F7" s="97"/>
      <c r="H7" s="92"/>
      <c r="I7" s="2" t="s">
        <v>3</v>
      </c>
      <c r="J7" s="4">
        <v>0</v>
      </c>
      <c r="K7" s="96"/>
      <c r="L7" s="97"/>
      <c r="N7" s="92"/>
      <c r="O7" s="2" t="s">
        <v>3</v>
      </c>
      <c r="P7" s="4">
        <v>0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F7" s="17"/>
      <c r="AI7" s="2" t="s">
        <v>3</v>
      </c>
      <c r="AJ7" s="4">
        <f t="shared" si="0"/>
        <v>0</v>
      </c>
    </row>
    <row r="8" spans="1:61" x14ac:dyDescent="0.25">
      <c r="B8" s="92"/>
      <c r="C8" s="2" t="s">
        <v>4</v>
      </c>
      <c r="D8" s="4">
        <v>2</v>
      </c>
      <c r="E8" s="96"/>
      <c r="F8" s="97"/>
      <c r="H8" s="92"/>
      <c r="I8" s="2" t="s">
        <v>4</v>
      </c>
      <c r="J8" s="4">
        <v>0</v>
      </c>
      <c r="K8" s="96"/>
      <c r="L8" s="97"/>
      <c r="N8" s="92"/>
      <c r="O8" s="2" t="s">
        <v>4</v>
      </c>
      <c r="P8" s="4">
        <v>0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F8" s="17"/>
      <c r="AI8" s="2" t="s">
        <v>4</v>
      </c>
      <c r="AJ8" s="4">
        <f t="shared" si="0"/>
        <v>0</v>
      </c>
    </row>
    <row r="9" spans="1:61" x14ac:dyDescent="0.25">
      <c r="B9" s="92"/>
      <c r="C9" s="2" t="s">
        <v>5</v>
      </c>
      <c r="D9" s="4">
        <v>3</v>
      </c>
      <c r="E9" s="96"/>
      <c r="F9" s="97"/>
      <c r="H9" s="92"/>
      <c r="I9" s="2" t="s">
        <v>5</v>
      </c>
      <c r="J9" s="4">
        <v>0</v>
      </c>
      <c r="K9" s="96"/>
      <c r="L9" s="97"/>
      <c r="N9" s="92"/>
      <c r="O9" s="2" t="s">
        <v>5</v>
      </c>
      <c r="P9" s="4">
        <v>0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F9" s="17"/>
      <c r="AI9" s="2" t="s">
        <v>5</v>
      </c>
      <c r="AJ9" s="4">
        <f t="shared" si="0"/>
        <v>0</v>
      </c>
    </row>
    <row r="10" spans="1:61" ht="15.75" thickBot="1" x14ac:dyDescent="0.3">
      <c r="B10" s="92"/>
      <c r="C10" s="7" t="s">
        <v>6</v>
      </c>
      <c r="D10" s="15">
        <v>3</v>
      </c>
      <c r="E10" s="96"/>
      <c r="F10" s="97"/>
      <c r="H10" s="92"/>
      <c r="I10" s="7" t="s">
        <v>6</v>
      </c>
      <c r="J10" s="15">
        <v>0</v>
      </c>
      <c r="K10" s="96"/>
      <c r="L10" s="97"/>
      <c r="N10" s="92"/>
      <c r="O10" s="7" t="s">
        <v>6</v>
      </c>
      <c r="P10" s="15">
        <v>0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F10" s="17"/>
      <c r="AI10" s="7" t="s">
        <v>6</v>
      </c>
      <c r="AJ10" s="15">
        <f t="shared" si="0"/>
        <v>0</v>
      </c>
    </row>
    <row r="11" spans="1:61" ht="15.75" thickBot="1" x14ac:dyDescent="0.3">
      <c r="B11" s="92"/>
      <c r="C11" s="2" t="s">
        <v>7</v>
      </c>
      <c r="D11" s="4">
        <v>2</v>
      </c>
      <c r="E11" s="98" t="s">
        <v>33</v>
      </c>
      <c r="F11" s="99"/>
      <c r="H11" s="92"/>
      <c r="I11" s="2" t="s">
        <v>7</v>
      </c>
      <c r="J11" s="4">
        <v>0</v>
      </c>
      <c r="K11" s="98" t="s">
        <v>33</v>
      </c>
      <c r="L11" s="99"/>
      <c r="N11" s="92"/>
      <c r="O11" s="2" t="s">
        <v>7</v>
      </c>
      <c r="P11" s="4">
        <v>0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F11" s="19"/>
      <c r="AI11" s="2" t="s">
        <v>7</v>
      </c>
      <c r="AJ11" s="4">
        <f t="shared" si="0"/>
        <v>0</v>
      </c>
    </row>
    <row r="12" spans="1:61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F12" s="17"/>
      <c r="AI12" s="2" t="s">
        <v>49</v>
      </c>
      <c r="AJ12" s="4">
        <f t="shared" si="0"/>
        <v>0</v>
      </c>
    </row>
    <row r="13" spans="1:61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F13" s="17"/>
      <c r="AI13" s="2" t="s">
        <v>50</v>
      </c>
      <c r="AJ13" s="4">
        <f t="shared" si="0"/>
        <v>0</v>
      </c>
    </row>
    <row r="14" spans="1:61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F14" s="17"/>
      <c r="AI14" s="2" t="s">
        <v>51</v>
      </c>
      <c r="AJ14" s="4">
        <f t="shared" si="0"/>
        <v>0</v>
      </c>
    </row>
    <row r="15" spans="1:61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F15" s="19"/>
      <c r="AI15" s="3" t="s">
        <v>52</v>
      </c>
      <c r="AJ15" s="5">
        <f t="shared" si="0"/>
        <v>0</v>
      </c>
    </row>
    <row r="16" spans="1:61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G16" s="18"/>
    </row>
    <row r="17" spans="2:36" x14ac:dyDescent="0.25">
      <c r="B17" s="104" t="s">
        <v>28</v>
      </c>
      <c r="C17" s="6" t="s">
        <v>10</v>
      </c>
      <c r="D17" s="107" t="s">
        <v>34</v>
      </c>
      <c r="E17" s="108"/>
      <c r="F17" s="9"/>
      <c r="H17" s="104" t="s">
        <v>28</v>
      </c>
      <c r="I17" s="6" t="s">
        <v>10</v>
      </c>
      <c r="J17" s="107" t="s">
        <v>34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34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6" ht="15.75" thickBot="1" x14ac:dyDescent="0.3">
      <c r="B18" s="105"/>
      <c r="C18" s="2" t="s">
        <v>11</v>
      </c>
      <c r="D18" s="100" t="s">
        <v>35</v>
      </c>
      <c r="E18" s="101"/>
      <c r="F18" s="9"/>
      <c r="H18" s="105"/>
      <c r="I18" s="2" t="s">
        <v>11</v>
      </c>
      <c r="J18" s="100" t="s">
        <v>35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35</v>
      </c>
      <c r="W18" s="101"/>
      <c r="Z18" s="105"/>
      <c r="AA18" s="2" t="s">
        <v>11</v>
      </c>
      <c r="AB18" s="100" t="s">
        <v>35</v>
      </c>
      <c r="AC18" s="101"/>
    </row>
    <row r="19" spans="2:36" ht="15.75" thickBot="1" x14ac:dyDescent="0.3">
      <c r="B19" s="105"/>
      <c r="C19" s="2" t="s">
        <v>12</v>
      </c>
      <c r="D19" s="100" t="s">
        <v>499</v>
      </c>
      <c r="E19" s="101"/>
      <c r="F19" s="9"/>
      <c r="H19" s="105"/>
      <c r="I19" s="2" t="s">
        <v>12</v>
      </c>
      <c r="J19" s="100" t="s">
        <v>36</v>
      </c>
      <c r="K19" s="101"/>
      <c r="N19" s="105"/>
      <c r="O19" s="2" t="s">
        <v>12</v>
      </c>
      <c r="P19" s="100" t="s">
        <v>36</v>
      </c>
      <c r="Q19" s="101"/>
      <c r="T19" s="105"/>
      <c r="U19" s="2" t="s">
        <v>12</v>
      </c>
      <c r="V19" s="100" t="s">
        <v>36</v>
      </c>
      <c r="W19" s="101"/>
      <c r="Z19" s="105"/>
      <c r="AA19" s="2" t="s">
        <v>12</v>
      </c>
      <c r="AB19" s="100" t="s">
        <v>36</v>
      </c>
      <c r="AC19" s="101"/>
      <c r="AI19" s="51" t="s">
        <v>54</v>
      </c>
      <c r="AJ19" s="52">
        <f>+AJ20+AJ21</f>
        <v>0</v>
      </c>
    </row>
    <row r="20" spans="2:36" ht="15.75" thickBot="1" x14ac:dyDescent="0.3">
      <c r="B20" s="106"/>
      <c r="C20" s="3" t="s">
        <v>13</v>
      </c>
      <c r="D20" s="138" t="s">
        <v>500</v>
      </c>
      <c r="E20" s="103"/>
      <c r="F20" s="9"/>
      <c r="H20" s="106"/>
      <c r="I20" s="3" t="s">
        <v>13</v>
      </c>
      <c r="J20" s="102" t="s">
        <v>36</v>
      </c>
      <c r="K20" s="103"/>
      <c r="N20" s="106"/>
      <c r="O20" s="3" t="s">
        <v>13</v>
      </c>
      <c r="P20" s="102" t="s">
        <v>36</v>
      </c>
      <c r="Q20" s="103"/>
      <c r="T20" s="106"/>
      <c r="U20" s="3" t="s">
        <v>13</v>
      </c>
      <c r="V20" s="102" t="s">
        <v>36</v>
      </c>
      <c r="W20" s="103"/>
      <c r="Z20" s="106"/>
      <c r="AA20" s="3" t="s">
        <v>13</v>
      </c>
      <c r="AB20" s="102" t="s">
        <v>36</v>
      </c>
      <c r="AC20" s="103"/>
      <c r="AI20" s="49" t="s">
        <v>55</v>
      </c>
      <c r="AJ20" s="50"/>
    </row>
    <row r="21" spans="2:36" ht="15.75" thickBot="1" x14ac:dyDescent="0.3">
      <c r="B21" s="109" t="s">
        <v>29</v>
      </c>
      <c r="C21" s="6" t="s">
        <v>14</v>
      </c>
      <c r="D21" s="107" t="s">
        <v>501</v>
      </c>
      <c r="E21" s="108"/>
      <c r="F21" s="9"/>
      <c r="H21" s="109" t="s">
        <v>29</v>
      </c>
      <c r="I21" s="6" t="s">
        <v>14</v>
      </c>
      <c r="J21" s="107" t="s">
        <v>37</v>
      </c>
      <c r="K21" s="108"/>
      <c r="N21" s="109" t="s">
        <v>29</v>
      </c>
      <c r="O21" s="6" t="s">
        <v>14</v>
      </c>
      <c r="P21" s="107" t="s">
        <v>37</v>
      </c>
      <c r="Q21" s="108"/>
      <c r="T21" s="109" t="s">
        <v>29</v>
      </c>
      <c r="U21" s="6" t="s">
        <v>14</v>
      </c>
      <c r="V21" s="107" t="s">
        <v>37</v>
      </c>
      <c r="W21" s="108"/>
      <c r="Z21" s="109" t="s">
        <v>29</v>
      </c>
      <c r="AA21" s="6" t="s">
        <v>14</v>
      </c>
      <c r="AB21" s="107" t="s">
        <v>37</v>
      </c>
      <c r="AC21" s="108"/>
      <c r="AI21" s="47" t="s">
        <v>56</v>
      </c>
      <c r="AJ21" s="48"/>
    </row>
    <row r="22" spans="2:36" x14ac:dyDescent="0.25">
      <c r="B22" s="110"/>
      <c r="C22" s="2" t="s">
        <v>15</v>
      </c>
      <c r="D22" s="100">
        <v>11405763</v>
      </c>
      <c r="E22" s="101"/>
      <c r="F22" s="9"/>
      <c r="H22" s="110"/>
      <c r="I22" s="2" t="s">
        <v>15</v>
      </c>
      <c r="J22" s="100" t="s">
        <v>38</v>
      </c>
      <c r="K22" s="101"/>
      <c r="N22" s="110"/>
      <c r="O22" s="2" t="s">
        <v>15</v>
      </c>
      <c r="P22" s="100" t="s">
        <v>38</v>
      </c>
      <c r="Q22" s="101"/>
      <c r="T22" s="110"/>
      <c r="U22" s="2" t="s">
        <v>15</v>
      </c>
      <c r="V22" s="100" t="s">
        <v>38</v>
      </c>
      <c r="W22" s="101"/>
      <c r="Z22" s="110"/>
      <c r="AA22" s="2" t="s">
        <v>15</v>
      </c>
      <c r="AB22" s="100" t="s">
        <v>38</v>
      </c>
      <c r="AC22" s="101"/>
    </row>
    <row r="23" spans="2:36" x14ac:dyDescent="0.25">
      <c r="B23" s="110"/>
      <c r="C23" s="2" t="s">
        <v>16</v>
      </c>
      <c r="D23" s="100">
        <v>4122944519</v>
      </c>
      <c r="E23" s="101"/>
      <c r="F23" s="9"/>
      <c r="H23" s="110"/>
      <c r="I23" s="2" t="s">
        <v>16</v>
      </c>
      <c r="J23" s="100" t="s">
        <v>39</v>
      </c>
      <c r="K23" s="101"/>
      <c r="N23" s="110"/>
      <c r="O23" s="2" t="s">
        <v>16</v>
      </c>
      <c r="P23" s="100" t="s">
        <v>39</v>
      </c>
      <c r="Q23" s="101"/>
      <c r="T23" s="110"/>
      <c r="U23" s="2" t="s">
        <v>16</v>
      </c>
      <c r="V23" s="100" t="s">
        <v>39</v>
      </c>
      <c r="W23" s="101"/>
      <c r="Z23" s="110"/>
      <c r="AA23" s="2" t="s">
        <v>16</v>
      </c>
      <c r="AB23" s="100" t="s">
        <v>39</v>
      </c>
      <c r="AC23" s="101"/>
    </row>
    <row r="24" spans="2:36" ht="15.75" thickBot="1" x14ac:dyDescent="0.3">
      <c r="B24" s="111"/>
      <c r="C24" s="3" t="s">
        <v>17</v>
      </c>
      <c r="D24" s="102" t="s">
        <v>502</v>
      </c>
      <c r="E24" s="103"/>
      <c r="F24" s="9"/>
      <c r="H24" s="111"/>
      <c r="I24" s="3" t="s">
        <v>17</v>
      </c>
      <c r="J24" s="102" t="s">
        <v>40</v>
      </c>
      <c r="K24" s="103"/>
      <c r="N24" s="111"/>
      <c r="O24" s="3" t="s">
        <v>17</v>
      </c>
      <c r="P24" s="102" t="s">
        <v>40</v>
      </c>
      <c r="Q24" s="103"/>
      <c r="T24" s="111"/>
      <c r="U24" s="3" t="s">
        <v>17</v>
      </c>
      <c r="V24" s="102" t="s">
        <v>40</v>
      </c>
      <c r="W24" s="103"/>
      <c r="Z24" s="111"/>
      <c r="AA24" s="3" t="s">
        <v>17</v>
      </c>
      <c r="AB24" s="102" t="s">
        <v>40</v>
      </c>
      <c r="AC24" s="103"/>
    </row>
    <row r="25" spans="2:36" x14ac:dyDescent="0.25">
      <c r="B25" s="109" t="s">
        <v>30</v>
      </c>
      <c r="C25" s="6" t="s">
        <v>18</v>
      </c>
      <c r="D25" s="107" t="s">
        <v>503</v>
      </c>
      <c r="E25" s="108"/>
      <c r="F25" s="9"/>
      <c r="H25" s="109" t="s">
        <v>30</v>
      </c>
      <c r="I25" s="6" t="s">
        <v>18</v>
      </c>
      <c r="J25" s="107" t="s">
        <v>41</v>
      </c>
      <c r="K25" s="108"/>
      <c r="N25" s="109" t="s">
        <v>30</v>
      </c>
      <c r="O25" s="6" t="s">
        <v>18</v>
      </c>
      <c r="P25" s="107" t="s">
        <v>41</v>
      </c>
      <c r="Q25" s="108"/>
      <c r="T25" s="109" t="s">
        <v>30</v>
      </c>
      <c r="U25" s="6" t="s">
        <v>18</v>
      </c>
      <c r="V25" s="107" t="s">
        <v>41</v>
      </c>
      <c r="W25" s="108"/>
      <c r="Z25" s="109" t="s">
        <v>30</v>
      </c>
      <c r="AA25" s="6" t="s">
        <v>18</v>
      </c>
      <c r="AB25" s="107" t="s">
        <v>41</v>
      </c>
      <c r="AC25" s="108"/>
    </row>
    <row r="26" spans="2:36" x14ac:dyDescent="0.25">
      <c r="B26" s="110"/>
      <c r="C26" s="2" t="s">
        <v>15</v>
      </c>
      <c r="D26" s="100">
        <v>11994338</v>
      </c>
      <c r="E26" s="101"/>
      <c r="F26" s="9"/>
      <c r="H26" s="110"/>
      <c r="I26" s="2" t="s">
        <v>15</v>
      </c>
      <c r="J26" s="100" t="s">
        <v>38</v>
      </c>
      <c r="K26" s="101"/>
      <c r="N26" s="110"/>
      <c r="O26" s="2" t="s">
        <v>15</v>
      </c>
      <c r="P26" s="100" t="s">
        <v>38</v>
      </c>
      <c r="Q26" s="101"/>
      <c r="T26" s="110"/>
      <c r="U26" s="2" t="s">
        <v>15</v>
      </c>
      <c r="V26" s="100" t="s">
        <v>38</v>
      </c>
      <c r="W26" s="101"/>
      <c r="Z26" s="110"/>
      <c r="AA26" s="2" t="s">
        <v>15</v>
      </c>
      <c r="AB26" s="100" t="s">
        <v>38</v>
      </c>
      <c r="AC26" s="101"/>
    </row>
    <row r="27" spans="2:36" x14ac:dyDescent="0.25">
      <c r="B27" s="110"/>
      <c r="C27" s="2" t="s">
        <v>16</v>
      </c>
      <c r="D27" s="100">
        <v>4142513102</v>
      </c>
      <c r="E27" s="101"/>
      <c r="F27" s="9"/>
      <c r="H27" s="110"/>
      <c r="I27" s="2" t="s">
        <v>16</v>
      </c>
      <c r="J27" s="100" t="s">
        <v>39</v>
      </c>
      <c r="K27" s="101"/>
      <c r="N27" s="110"/>
      <c r="O27" s="2" t="s">
        <v>16</v>
      </c>
      <c r="P27" s="100" t="s">
        <v>39</v>
      </c>
      <c r="Q27" s="101"/>
      <c r="T27" s="110"/>
      <c r="U27" s="2" t="s">
        <v>16</v>
      </c>
      <c r="V27" s="100" t="s">
        <v>39</v>
      </c>
      <c r="W27" s="101"/>
      <c r="Z27" s="110"/>
      <c r="AA27" s="2" t="s">
        <v>16</v>
      </c>
      <c r="AB27" s="100" t="s">
        <v>39</v>
      </c>
      <c r="AC27" s="101"/>
    </row>
    <row r="28" spans="2:36" x14ac:dyDescent="0.25">
      <c r="B28" s="110"/>
      <c r="C28" s="2" t="s">
        <v>19</v>
      </c>
      <c r="D28" s="100" t="s">
        <v>84</v>
      </c>
      <c r="E28" s="101"/>
      <c r="F28" s="9"/>
      <c r="H28" s="110"/>
      <c r="I28" s="2" t="s">
        <v>19</v>
      </c>
      <c r="J28" s="100" t="s">
        <v>42</v>
      </c>
      <c r="K28" s="101"/>
      <c r="N28" s="110"/>
      <c r="O28" s="2" t="s">
        <v>19</v>
      </c>
      <c r="P28" s="100" t="s">
        <v>42</v>
      </c>
      <c r="Q28" s="101"/>
      <c r="T28" s="110"/>
      <c r="U28" s="2" t="s">
        <v>19</v>
      </c>
      <c r="V28" s="100" t="s">
        <v>42</v>
      </c>
      <c r="W28" s="101"/>
      <c r="Z28" s="110"/>
      <c r="AA28" s="2" t="s">
        <v>19</v>
      </c>
      <c r="AB28" s="100" t="s">
        <v>42</v>
      </c>
      <c r="AC28" s="101"/>
    </row>
    <row r="29" spans="2:36" x14ac:dyDescent="0.25">
      <c r="B29" s="110"/>
      <c r="C29" s="2" t="s">
        <v>20</v>
      </c>
      <c r="D29" s="100">
        <v>9</v>
      </c>
      <c r="E29" s="101"/>
      <c r="F29" s="9"/>
      <c r="H29" s="110"/>
      <c r="I29" s="2" t="s">
        <v>20</v>
      </c>
      <c r="J29" s="100" t="s">
        <v>8</v>
      </c>
      <c r="K29" s="101"/>
      <c r="N29" s="110"/>
      <c r="O29" s="2" t="s">
        <v>20</v>
      </c>
      <c r="P29" s="100" t="s">
        <v>8</v>
      </c>
      <c r="Q29" s="101"/>
      <c r="T29" s="110"/>
      <c r="U29" s="2" t="s">
        <v>20</v>
      </c>
      <c r="V29" s="100" t="s">
        <v>8</v>
      </c>
      <c r="W29" s="101"/>
      <c r="Z29" s="110"/>
      <c r="AA29" s="2" t="s">
        <v>20</v>
      </c>
      <c r="AB29" s="100" t="s">
        <v>8</v>
      </c>
      <c r="AC29" s="101"/>
    </row>
    <row r="30" spans="2:36" ht="15.75" thickBot="1" x14ac:dyDescent="0.3">
      <c r="B30" s="111"/>
      <c r="C30" s="3" t="s">
        <v>21</v>
      </c>
      <c r="D30" s="102">
        <v>1</v>
      </c>
      <c r="E30" s="103"/>
      <c r="F30" s="9"/>
      <c r="H30" s="111"/>
      <c r="I30" s="3" t="s">
        <v>21</v>
      </c>
      <c r="J30" s="102" t="s">
        <v>8</v>
      </c>
      <c r="K30" s="103"/>
      <c r="N30" s="111"/>
      <c r="O30" s="3" t="s">
        <v>21</v>
      </c>
      <c r="P30" s="102" t="s">
        <v>8</v>
      </c>
      <c r="Q30" s="103"/>
      <c r="T30" s="111"/>
      <c r="U30" s="3" t="s">
        <v>21</v>
      </c>
      <c r="V30" s="102" t="s">
        <v>8</v>
      </c>
      <c r="W30" s="103"/>
      <c r="Z30" s="111"/>
      <c r="AA30" s="3" t="s">
        <v>21</v>
      </c>
      <c r="AB30" s="102" t="s">
        <v>8</v>
      </c>
      <c r="AC30" s="103"/>
    </row>
    <row r="31" spans="2:36" x14ac:dyDescent="0.25">
      <c r="B31" s="104" t="s">
        <v>32</v>
      </c>
      <c r="C31" s="6" t="s">
        <v>23</v>
      </c>
      <c r="D31" s="107" t="s">
        <v>88</v>
      </c>
      <c r="E31" s="108"/>
      <c r="F31" s="9"/>
      <c r="H31" s="104" t="s">
        <v>32</v>
      </c>
      <c r="I31" s="6" t="s">
        <v>23</v>
      </c>
      <c r="J31" s="107" t="s">
        <v>22</v>
      </c>
      <c r="K31" s="108"/>
      <c r="N31" s="104" t="s">
        <v>32</v>
      </c>
      <c r="O31" s="6" t="s">
        <v>23</v>
      </c>
      <c r="P31" s="107" t="s">
        <v>22</v>
      </c>
      <c r="Q31" s="108"/>
      <c r="T31" s="104" t="s">
        <v>32</v>
      </c>
      <c r="U31" s="6" t="s">
        <v>23</v>
      </c>
      <c r="V31" s="107" t="s">
        <v>22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6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22</v>
      </c>
      <c r="K32" s="113"/>
      <c r="N32" s="105"/>
      <c r="O32" s="2" t="s">
        <v>24</v>
      </c>
      <c r="P32" s="112" t="s">
        <v>22</v>
      </c>
      <c r="Q32" s="113"/>
      <c r="T32" s="105"/>
      <c r="U32" s="2" t="s">
        <v>24</v>
      </c>
      <c r="V32" s="112" t="s">
        <v>22</v>
      </c>
      <c r="W32" s="113"/>
      <c r="Z32" s="105"/>
      <c r="AA32" s="2" t="s">
        <v>24</v>
      </c>
      <c r="AB32" s="112" t="s">
        <v>22</v>
      </c>
      <c r="AC32" s="113"/>
    </row>
    <row r="33" spans="2:33" x14ac:dyDescent="0.25">
      <c r="B33" s="105"/>
      <c r="C33" s="2" t="s">
        <v>25</v>
      </c>
      <c r="D33" s="112" t="s">
        <v>88</v>
      </c>
      <c r="E33" s="113"/>
      <c r="F33" s="9"/>
      <c r="H33" s="105"/>
      <c r="I33" s="2" t="s">
        <v>25</v>
      </c>
      <c r="J33" s="112" t="s">
        <v>22</v>
      </c>
      <c r="K33" s="113"/>
      <c r="N33" s="105"/>
      <c r="O33" s="2" t="s">
        <v>25</v>
      </c>
      <c r="P33" s="112" t="s">
        <v>22</v>
      </c>
      <c r="Q33" s="113"/>
      <c r="T33" s="105"/>
      <c r="U33" s="2" t="s">
        <v>25</v>
      </c>
      <c r="V33" s="112" t="s">
        <v>22</v>
      </c>
      <c r="W33" s="113"/>
      <c r="Z33" s="105"/>
      <c r="AA33" s="2" t="s">
        <v>25</v>
      </c>
      <c r="AB33" s="112" t="s">
        <v>22</v>
      </c>
      <c r="AC33" s="113"/>
    </row>
    <row r="34" spans="2:33" ht="15.75" thickBot="1" x14ac:dyDescent="0.3">
      <c r="B34" s="105"/>
      <c r="C34" s="7" t="s">
        <v>26</v>
      </c>
      <c r="D34" s="114" t="s">
        <v>87</v>
      </c>
      <c r="E34" s="115"/>
      <c r="F34" s="9"/>
      <c r="H34" s="105"/>
      <c r="I34" s="7" t="s">
        <v>26</v>
      </c>
      <c r="J34" s="114" t="s">
        <v>22</v>
      </c>
      <c r="K34" s="115"/>
      <c r="N34" s="105"/>
      <c r="O34" s="7" t="s">
        <v>26</v>
      </c>
      <c r="P34" s="114" t="s">
        <v>22</v>
      </c>
      <c r="Q34" s="115"/>
      <c r="T34" s="105"/>
      <c r="U34" s="7" t="s">
        <v>26</v>
      </c>
      <c r="V34" s="114" t="s">
        <v>22</v>
      </c>
      <c r="W34" s="115"/>
      <c r="Z34" s="105"/>
      <c r="AA34" s="7" t="s">
        <v>26</v>
      </c>
      <c r="AB34" s="114" t="s">
        <v>22</v>
      </c>
      <c r="AC34" s="115"/>
    </row>
    <row r="35" spans="2:33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  <c r="AF35" s="21"/>
    </row>
    <row r="36" spans="2:33" x14ac:dyDescent="0.25">
      <c r="B36" s="110"/>
      <c r="C36" s="119" t="s">
        <v>504</v>
      </c>
      <c r="D36" s="120"/>
      <c r="E36" s="120"/>
      <c r="F36" s="121"/>
      <c r="H36" s="110"/>
      <c r="I36" s="119" t="s">
        <v>43</v>
      </c>
      <c r="J36" s="120"/>
      <c r="K36" s="120"/>
      <c r="L36" s="121"/>
      <c r="N36" s="110"/>
      <c r="O36" s="119" t="s">
        <v>43</v>
      </c>
      <c r="P36" s="120"/>
      <c r="Q36" s="120"/>
      <c r="R36" s="121"/>
      <c r="T36" s="110"/>
      <c r="U36" s="119" t="s">
        <v>43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  <c r="AF36" s="22"/>
    </row>
    <row r="37" spans="2:33" x14ac:dyDescent="0.25">
      <c r="B37" s="110"/>
      <c r="C37" s="122" t="s">
        <v>505</v>
      </c>
      <c r="D37" s="123"/>
      <c r="E37" s="123"/>
      <c r="F37" s="124"/>
      <c r="H37" s="110"/>
      <c r="I37" s="122" t="s">
        <v>43</v>
      </c>
      <c r="J37" s="123"/>
      <c r="K37" s="123"/>
      <c r="L37" s="124"/>
      <c r="N37" s="110"/>
      <c r="O37" s="122" t="s">
        <v>43</v>
      </c>
      <c r="P37" s="123"/>
      <c r="Q37" s="123"/>
      <c r="R37" s="124"/>
      <c r="T37" s="110"/>
      <c r="U37" s="122" t="s">
        <v>43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  <c r="AF37" s="22"/>
    </row>
    <row r="38" spans="2:33" x14ac:dyDescent="0.25">
      <c r="B38" s="110"/>
      <c r="C38" s="122" t="s">
        <v>43</v>
      </c>
      <c r="D38" s="123"/>
      <c r="E38" s="123"/>
      <c r="F38" s="124"/>
      <c r="H38" s="110"/>
      <c r="I38" s="122" t="s">
        <v>43</v>
      </c>
      <c r="J38" s="123"/>
      <c r="K38" s="123"/>
      <c r="L38" s="124"/>
      <c r="N38" s="110"/>
      <c r="O38" s="122" t="s">
        <v>43</v>
      </c>
      <c r="P38" s="123"/>
      <c r="Q38" s="123"/>
      <c r="R38" s="124"/>
      <c r="T38" s="110"/>
      <c r="U38" s="122" t="s">
        <v>43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  <c r="AF38" s="22"/>
    </row>
    <row r="39" spans="2:33" ht="15.75" thickBot="1" x14ac:dyDescent="0.3">
      <c r="B39" s="111"/>
      <c r="C39" s="125" t="s">
        <v>43</v>
      </c>
      <c r="D39" s="126"/>
      <c r="E39" s="126"/>
      <c r="F39" s="127"/>
      <c r="H39" s="111"/>
      <c r="I39" s="125" t="s">
        <v>43</v>
      </c>
      <c r="J39" s="126"/>
      <c r="K39" s="126"/>
      <c r="L39" s="127"/>
      <c r="N39" s="111"/>
      <c r="O39" s="125" t="s">
        <v>43</v>
      </c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  <c r="AF39" s="22"/>
    </row>
    <row r="40" spans="2:33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G40" s="18"/>
    </row>
    <row r="41" spans="2:33" s="9" customFormat="1" x14ac:dyDescent="0.25">
      <c r="B41" s="10"/>
      <c r="C41" s="13" t="s">
        <v>44</v>
      </c>
      <c r="D41" s="130" t="s">
        <v>506</v>
      </c>
      <c r="E41" s="131"/>
      <c r="F41" s="132"/>
      <c r="H41" s="10"/>
      <c r="I41" s="13" t="s">
        <v>44</v>
      </c>
      <c r="J41" s="130" t="s">
        <v>47</v>
      </c>
      <c r="K41" s="131"/>
      <c r="L41" s="132"/>
      <c r="N41" s="10"/>
      <c r="O41" s="13" t="s">
        <v>44</v>
      </c>
      <c r="P41" s="130" t="s">
        <v>47</v>
      </c>
      <c r="Q41" s="131"/>
      <c r="R41" s="132"/>
      <c r="T41" s="10"/>
      <c r="U41" s="13" t="s">
        <v>44</v>
      </c>
      <c r="V41" s="130" t="s">
        <v>47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23"/>
      <c r="AG41" s="18"/>
    </row>
    <row r="42" spans="2:33" s="9" customFormat="1" ht="15.75" thickBot="1" x14ac:dyDescent="0.3">
      <c r="B42" s="10"/>
      <c r="C42" s="14" t="s">
        <v>45</v>
      </c>
      <c r="D42" s="128" t="s">
        <v>507</v>
      </c>
      <c r="E42" s="128"/>
      <c r="F42" s="129"/>
      <c r="H42" s="10"/>
      <c r="I42" s="14" t="s">
        <v>45</v>
      </c>
      <c r="J42" s="128" t="s">
        <v>46</v>
      </c>
      <c r="K42" s="128"/>
      <c r="L42" s="129"/>
      <c r="N42" s="10"/>
      <c r="O42" s="14" t="s">
        <v>45</v>
      </c>
      <c r="P42" s="128" t="s">
        <v>46</v>
      </c>
      <c r="Q42" s="128"/>
      <c r="R42" s="129"/>
      <c r="T42" s="10"/>
      <c r="U42" s="14" t="s">
        <v>45</v>
      </c>
      <c r="V42" s="128" t="s">
        <v>46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23"/>
      <c r="AG42" s="18"/>
    </row>
    <row r="43" spans="2:33" s="9" customFormat="1" x14ac:dyDescent="0.25">
      <c r="B43" s="10"/>
      <c r="D43" s="11"/>
      <c r="AG43" s="18"/>
    </row>
    <row r="44" spans="2:33" s="9" customFormat="1" x14ac:dyDescent="0.25">
      <c r="B44" s="10"/>
      <c r="D44" s="11"/>
      <c r="AG44" s="18"/>
    </row>
    <row r="45" spans="2:33" s="9" customFormat="1" x14ac:dyDescent="0.25">
      <c r="B45" s="10"/>
      <c r="D45" s="11"/>
      <c r="AG45" s="18"/>
    </row>
    <row r="46" spans="2:33" s="9" customFormat="1" x14ac:dyDescent="0.25">
      <c r="B46" s="10"/>
      <c r="D46" s="11"/>
      <c r="AG46" s="18"/>
    </row>
    <row r="47" spans="2:33" s="9" customFormat="1" x14ac:dyDescent="0.25">
      <c r="B47" s="10"/>
      <c r="D47" s="11"/>
      <c r="AG47" s="18"/>
    </row>
    <row r="48" spans="2:33" s="9" customFormat="1" x14ac:dyDescent="0.25">
      <c r="B48" s="10"/>
      <c r="D48" s="11"/>
      <c r="AG48" s="18"/>
    </row>
    <row r="49" spans="2:33" s="9" customFormat="1" x14ac:dyDescent="0.25">
      <c r="B49" s="10"/>
      <c r="D49" s="11"/>
      <c r="AG49" s="18"/>
    </row>
    <row r="50" spans="2:33" s="9" customFormat="1" x14ac:dyDescent="0.25">
      <c r="B50" s="10"/>
      <c r="D50" s="11"/>
      <c r="AG50" s="18"/>
    </row>
    <row r="51" spans="2:33" s="9" customFormat="1" x14ac:dyDescent="0.25">
      <c r="B51" s="10"/>
      <c r="D51" s="11"/>
      <c r="AG51" s="18"/>
    </row>
    <row r="52" spans="2:33" s="9" customFormat="1" x14ac:dyDescent="0.25">
      <c r="B52" s="10"/>
      <c r="D52" s="11"/>
      <c r="AG52" s="18"/>
    </row>
    <row r="53" spans="2:33" s="9" customFormat="1" x14ac:dyDescent="0.25">
      <c r="B53" s="10"/>
      <c r="D53" s="11"/>
      <c r="AG53" s="18"/>
    </row>
    <row r="54" spans="2:33" s="9" customFormat="1" x14ac:dyDescent="0.25">
      <c r="B54" s="10"/>
      <c r="D54" s="11"/>
      <c r="AG54" s="18"/>
    </row>
    <row r="55" spans="2:33" s="9" customFormat="1" x14ac:dyDescent="0.25">
      <c r="B55" s="10"/>
      <c r="D55" s="11"/>
      <c r="AG55" s="18"/>
    </row>
    <row r="56" spans="2:33" s="9" customFormat="1" x14ac:dyDescent="0.25">
      <c r="B56" s="10"/>
      <c r="D56" s="11"/>
      <c r="AG56" s="18"/>
    </row>
    <row r="57" spans="2:33" s="9" customFormat="1" x14ac:dyDescent="0.25">
      <c r="B57" s="10"/>
      <c r="D57" s="11"/>
      <c r="AG57" s="18"/>
    </row>
    <row r="58" spans="2:33" s="9" customFormat="1" x14ac:dyDescent="0.25">
      <c r="B58" s="10"/>
      <c r="D58" s="11"/>
      <c r="AG58" s="18"/>
    </row>
    <row r="59" spans="2:33" s="9" customFormat="1" x14ac:dyDescent="0.25">
      <c r="B59" s="10"/>
      <c r="D59" s="11"/>
      <c r="AG59" s="18"/>
    </row>
    <row r="60" spans="2:33" s="9" customFormat="1" x14ac:dyDescent="0.25">
      <c r="B60" s="10"/>
      <c r="D60" s="11"/>
      <c r="AG60" s="18"/>
    </row>
    <row r="61" spans="2:33" s="9" customFormat="1" x14ac:dyDescent="0.25">
      <c r="B61" s="10"/>
      <c r="D61" s="11"/>
      <c r="AG61" s="18"/>
    </row>
    <row r="62" spans="2:33" s="9" customFormat="1" x14ac:dyDescent="0.25">
      <c r="B62" s="10"/>
      <c r="D62" s="11"/>
      <c r="AG62" s="18"/>
    </row>
    <row r="63" spans="2:33" s="9" customFormat="1" x14ac:dyDescent="0.25">
      <c r="B63" s="10"/>
      <c r="D63" s="11"/>
      <c r="AG63" s="18"/>
    </row>
    <row r="64" spans="2:33" s="9" customFormat="1" x14ac:dyDescent="0.25">
      <c r="B64" s="10"/>
      <c r="D64" s="11"/>
      <c r="AG64" s="18"/>
    </row>
    <row r="65" spans="2:33" s="9" customFormat="1" x14ac:dyDescent="0.25">
      <c r="B65" s="10"/>
      <c r="D65" s="11"/>
      <c r="AG65" s="18"/>
    </row>
    <row r="66" spans="2:33" s="9" customFormat="1" x14ac:dyDescent="0.25">
      <c r="B66" s="10"/>
      <c r="D66" s="11"/>
      <c r="AG66" s="18"/>
    </row>
    <row r="67" spans="2:33" s="9" customFormat="1" x14ac:dyDescent="0.25">
      <c r="B67" s="10"/>
      <c r="D67" s="11"/>
      <c r="AG67" s="18"/>
    </row>
    <row r="68" spans="2:33" s="9" customFormat="1" x14ac:dyDescent="0.25">
      <c r="B68" s="10"/>
      <c r="D68" s="11"/>
      <c r="AG68" s="18"/>
    </row>
    <row r="69" spans="2:33" s="9" customFormat="1" x14ac:dyDescent="0.25">
      <c r="B69" s="10"/>
      <c r="D69" s="11"/>
      <c r="AG69" s="18"/>
    </row>
    <row r="70" spans="2:33" s="9" customFormat="1" x14ac:dyDescent="0.25">
      <c r="B70" s="10"/>
      <c r="D70" s="11"/>
      <c r="AG70" s="18"/>
    </row>
    <row r="71" spans="2:33" s="9" customFormat="1" x14ac:dyDescent="0.25">
      <c r="B71" s="10"/>
      <c r="D71" s="11"/>
      <c r="AG71" s="18"/>
    </row>
    <row r="72" spans="2:33" s="9" customFormat="1" x14ac:dyDescent="0.25">
      <c r="B72" s="10"/>
      <c r="D72" s="11"/>
      <c r="AG72" s="18"/>
    </row>
    <row r="73" spans="2:33" s="9" customFormat="1" x14ac:dyDescent="0.25">
      <c r="B73" s="10"/>
      <c r="D73" s="11"/>
      <c r="AG73" s="18"/>
    </row>
    <row r="74" spans="2:33" s="9" customFormat="1" x14ac:dyDescent="0.25">
      <c r="B74" s="10"/>
      <c r="D74" s="11"/>
      <c r="AG74" s="18"/>
    </row>
    <row r="75" spans="2:33" s="9" customFormat="1" x14ac:dyDescent="0.25">
      <c r="B75" s="10"/>
      <c r="D75" s="11"/>
      <c r="AG75" s="18"/>
    </row>
    <row r="76" spans="2:33" s="9" customFormat="1" x14ac:dyDescent="0.25">
      <c r="B76" s="10"/>
      <c r="D76" s="11"/>
      <c r="AG76" s="18"/>
    </row>
    <row r="77" spans="2:33" s="9" customFormat="1" x14ac:dyDescent="0.25">
      <c r="B77" s="10"/>
      <c r="D77" s="11"/>
      <c r="AG77" s="18"/>
    </row>
    <row r="78" spans="2:33" s="9" customFormat="1" x14ac:dyDescent="0.25">
      <c r="B78" s="10"/>
      <c r="D78" s="11"/>
      <c r="AG78" s="18"/>
    </row>
    <row r="79" spans="2:33" s="9" customFormat="1" x14ac:dyDescent="0.25">
      <c r="B79" s="10"/>
      <c r="D79" s="11"/>
      <c r="AG79" s="18"/>
    </row>
    <row r="80" spans="2:33" s="9" customFormat="1" x14ac:dyDescent="0.25">
      <c r="B80" s="10"/>
      <c r="D80" s="11"/>
      <c r="AG80" s="18"/>
    </row>
    <row r="81" spans="2:33" s="9" customFormat="1" x14ac:dyDescent="0.25">
      <c r="B81" s="10"/>
      <c r="D81" s="11"/>
      <c r="AG81" s="18"/>
    </row>
    <row r="82" spans="2:33" s="9" customFormat="1" x14ac:dyDescent="0.25">
      <c r="B82" s="10"/>
      <c r="D82" s="11"/>
      <c r="AG82" s="18"/>
    </row>
    <row r="83" spans="2:33" s="9" customFormat="1" x14ac:dyDescent="0.25">
      <c r="B83" s="10"/>
      <c r="D83" s="11"/>
      <c r="AG83" s="18"/>
    </row>
    <row r="84" spans="2:33" s="9" customFormat="1" x14ac:dyDescent="0.25">
      <c r="B84" s="10"/>
      <c r="D84" s="11"/>
      <c r="AG84" s="18"/>
    </row>
    <row r="85" spans="2:33" s="9" customFormat="1" x14ac:dyDescent="0.25">
      <c r="B85" s="10"/>
      <c r="D85" s="11"/>
      <c r="AG85" s="18"/>
    </row>
    <row r="86" spans="2:33" s="9" customFormat="1" x14ac:dyDescent="0.25">
      <c r="B86" s="10"/>
      <c r="D86" s="11"/>
      <c r="AG86" s="18"/>
    </row>
    <row r="87" spans="2:33" s="9" customFormat="1" x14ac:dyDescent="0.25">
      <c r="B87" s="10"/>
      <c r="D87" s="11"/>
      <c r="AG87" s="18"/>
    </row>
    <row r="88" spans="2:33" s="9" customFormat="1" x14ac:dyDescent="0.25">
      <c r="B88" s="10"/>
      <c r="D88" s="11"/>
      <c r="AG88" s="18"/>
    </row>
    <row r="89" spans="2:33" s="9" customFormat="1" x14ac:dyDescent="0.25">
      <c r="B89" s="10"/>
      <c r="D89" s="11"/>
      <c r="AG89" s="18"/>
    </row>
    <row r="90" spans="2:33" s="9" customFormat="1" x14ac:dyDescent="0.25">
      <c r="B90" s="10"/>
      <c r="D90" s="11"/>
      <c r="AG90" s="18"/>
    </row>
    <row r="91" spans="2:33" s="9" customFormat="1" x14ac:dyDescent="0.25">
      <c r="B91" s="10"/>
      <c r="D91" s="11"/>
      <c r="AG91" s="18"/>
    </row>
    <row r="92" spans="2:33" s="9" customFormat="1" x14ac:dyDescent="0.25">
      <c r="B92" s="10"/>
      <c r="D92" s="11"/>
      <c r="AG92" s="18"/>
    </row>
    <row r="93" spans="2:33" s="9" customFormat="1" x14ac:dyDescent="0.25">
      <c r="B93" s="10"/>
      <c r="D93" s="11"/>
      <c r="AG93" s="18"/>
    </row>
    <row r="94" spans="2:33" s="9" customFormat="1" x14ac:dyDescent="0.25">
      <c r="B94" s="10"/>
      <c r="D94" s="11"/>
      <c r="AG94" s="18"/>
    </row>
    <row r="95" spans="2:33" s="9" customFormat="1" x14ac:dyDescent="0.25">
      <c r="B95" s="10"/>
      <c r="D95" s="11"/>
      <c r="AG95" s="18"/>
    </row>
    <row r="96" spans="2:33" s="9" customFormat="1" x14ac:dyDescent="0.25">
      <c r="B96" s="10"/>
      <c r="D96" s="11"/>
      <c r="AG96" s="18"/>
    </row>
    <row r="97" spans="2:33" s="9" customFormat="1" x14ac:dyDescent="0.25">
      <c r="B97" s="10"/>
      <c r="D97" s="11"/>
      <c r="AG97" s="18"/>
    </row>
    <row r="98" spans="2:33" s="9" customFormat="1" x14ac:dyDescent="0.25">
      <c r="B98" s="10"/>
      <c r="D98" s="11"/>
      <c r="AG98" s="18"/>
    </row>
    <row r="99" spans="2:33" s="9" customFormat="1" x14ac:dyDescent="0.25">
      <c r="B99" s="10"/>
      <c r="D99" s="11"/>
      <c r="AG99" s="18"/>
    </row>
    <row r="100" spans="2:33" s="9" customFormat="1" x14ac:dyDescent="0.25">
      <c r="B100" s="10"/>
      <c r="D100" s="11"/>
      <c r="AG100" s="18"/>
    </row>
    <row r="101" spans="2:33" s="9" customFormat="1" x14ac:dyDescent="0.25">
      <c r="B101" s="10"/>
      <c r="D101" s="11"/>
      <c r="AG101" s="18"/>
    </row>
    <row r="102" spans="2:33" s="9" customFormat="1" x14ac:dyDescent="0.25">
      <c r="B102" s="10"/>
      <c r="D102" s="11"/>
      <c r="AG102" s="18"/>
    </row>
    <row r="103" spans="2:33" s="9" customFormat="1" x14ac:dyDescent="0.25">
      <c r="B103" s="10"/>
      <c r="D103" s="11"/>
      <c r="AG103" s="18"/>
    </row>
    <row r="104" spans="2:33" s="9" customFormat="1" x14ac:dyDescent="0.25">
      <c r="B104" s="10"/>
      <c r="D104" s="11"/>
      <c r="AG104" s="18"/>
    </row>
    <row r="105" spans="2:33" s="9" customFormat="1" x14ac:dyDescent="0.25">
      <c r="B105" s="10"/>
      <c r="D105" s="11"/>
      <c r="AG105" s="18"/>
    </row>
    <row r="106" spans="2:33" s="9" customFormat="1" x14ac:dyDescent="0.25">
      <c r="B106" s="10"/>
      <c r="D106" s="11"/>
      <c r="AG106" s="18"/>
    </row>
    <row r="107" spans="2:33" s="9" customFormat="1" x14ac:dyDescent="0.25">
      <c r="B107" s="10"/>
      <c r="D107" s="11"/>
      <c r="AG107" s="18"/>
    </row>
    <row r="108" spans="2:33" s="9" customFormat="1" x14ac:dyDescent="0.25">
      <c r="B108" s="10"/>
      <c r="D108" s="11"/>
      <c r="AG108" s="18"/>
    </row>
    <row r="109" spans="2:33" s="9" customFormat="1" x14ac:dyDescent="0.25">
      <c r="B109" s="10"/>
      <c r="D109" s="11"/>
      <c r="AG109" s="18"/>
    </row>
    <row r="110" spans="2:33" s="9" customFormat="1" x14ac:dyDescent="0.25">
      <c r="B110" s="10"/>
      <c r="D110" s="11"/>
      <c r="AG110" s="18"/>
    </row>
    <row r="111" spans="2:33" s="9" customFormat="1" x14ac:dyDescent="0.25">
      <c r="B111" s="10"/>
      <c r="D111" s="11"/>
      <c r="AG111" s="18"/>
    </row>
    <row r="112" spans="2:33" s="9" customFormat="1" x14ac:dyDescent="0.25">
      <c r="B112" s="10"/>
      <c r="D112" s="11"/>
      <c r="AG112" s="18"/>
    </row>
    <row r="113" spans="2:33" s="9" customFormat="1" x14ac:dyDescent="0.25">
      <c r="B113" s="10"/>
      <c r="D113" s="11"/>
      <c r="AG113" s="18"/>
    </row>
    <row r="114" spans="2:33" s="9" customFormat="1" x14ac:dyDescent="0.25">
      <c r="B114" s="10"/>
      <c r="D114" s="11"/>
      <c r="AG114" s="18"/>
    </row>
    <row r="115" spans="2:33" s="9" customFormat="1" x14ac:dyDescent="0.25">
      <c r="B115" s="10"/>
      <c r="D115" s="11"/>
      <c r="AG115" s="18"/>
    </row>
    <row r="116" spans="2:33" s="9" customFormat="1" x14ac:dyDescent="0.25">
      <c r="B116" s="10"/>
      <c r="D116" s="11"/>
      <c r="AG116" s="18"/>
    </row>
    <row r="117" spans="2:33" s="9" customFormat="1" x14ac:dyDescent="0.25">
      <c r="B117" s="10"/>
      <c r="D117" s="11"/>
      <c r="AG117" s="18"/>
    </row>
    <row r="118" spans="2:33" s="9" customFormat="1" x14ac:dyDescent="0.25">
      <c r="B118" s="10"/>
      <c r="D118" s="11"/>
      <c r="AG118" s="18"/>
    </row>
    <row r="119" spans="2:33" s="9" customFormat="1" x14ac:dyDescent="0.25">
      <c r="B119" s="10"/>
      <c r="D119" s="11"/>
      <c r="AG119" s="18"/>
    </row>
    <row r="120" spans="2:33" s="9" customFormat="1" x14ac:dyDescent="0.25">
      <c r="B120" s="10"/>
      <c r="D120" s="11"/>
      <c r="AG120" s="18"/>
    </row>
    <row r="121" spans="2:33" s="9" customFormat="1" x14ac:dyDescent="0.25">
      <c r="B121" s="10"/>
      <c r="D121" s="11"/>
      <c r="AG121" s="18"/>
    </row>
    <row r="122" spans="2:33" s="9" customFormat="1" x14ac:dyDescent="0.25">
      <c r="B122" s="10"/>
      <c r="D122" s="11"/>
      <c r="AG122" s="18"/>
    </row>
    <row r="123" spans="2:33" s="9" customFormat="1" x14ac:dyDescent="0.25">
      <c r="B123" s="10"/>
      <c r="D123" s="11"/>
      <c r="AG123" s="18"/>
    </row>
    <row r="124" spans="2:33" s="9" customFormat="1" x14ac:dyDescent="0.25">
      <c r="B124" s="10"/>
      <c r="D124" s="11"/>
      <c r="AG124" s="18"/>
    </row>
    <row r="125" spans="2:33" s="9" customFormat="1" x14ac:dyDescent="0.25">
      <c r="B125" s="10"/>
      <c r="D125" s="11"/>
      <c r="AG125" s="18"/>
    </row>
    <row r="126" spans="2:33" s="9" customFormat="1" x14ac:dyDescent="0.25">
      <c r="B126" s="10"/>
      <c r="D126" s="11"/>
      <c r="AG126" s="18"/>
    </row>
    <row r="127" spans="2:33" s="9" customFormat="1" x14ac:dyDescent="0.25">
      <c r="B127" s="10"/>
      <c r="D127" s="11"/>
      <c r="AG127" s="18"/>
    </row>
    <row r="128" spans="2:33" s="9" customFormat="1" x14ac:dyDescent="0.25">
      <c r="B128" s="10"/>
      <c r="D128" s="11"/>
      <c r="AG128" s="18"/>
    </row>
    <row r="129" spans="2:33" s="9" customFormat="1" x14ac:dyDescent="0.25">
      <c r="B129" s="10"/>
      <c r="D129" s="11"/>
      <c r="AG129" s="18"/>
    </row>
    <row r="130" spans="2:33" s="9" customFormat="1" x14ac:dyDescent="0.25">
      <c r="B130" s="10"/>
      <c r="D130" s="11"/>
      <c r="AG130" s="18"/>
    </row>
    <row r="131" spans="2:33" s="9" customFormat="1" x14ac:dyDescent="0.25">
      <c r="B131" s="10"/>
      <c r="D131" s="11"/>
      <c r="AG131" s="18"/>
    </row>
    <row r="132" spans="2:33" s="9" customFormat="1" x14ac:dyDescent="0.25">
      <c r="B132" s="10"/>
      <c r="D132" s="11"/>
      <c r="AG132" s="18"/>
    </row>
    <row r="133" spans="2:33" s="9" customFormat="1" x14ac:dyDescent="0.25">
      <c r="B133" s="10"/>
      <c r="D133" s="11"/>
      <c r="AG133" s="18"/>
    </row>
    <row r="134" spans="2:33" s="9" customFormat="1" x14ac:dyDescent="0.25">
      <c r="B134" s="10"/>
      <c r="D134" s="11"/>
      <c r="AG134" s="18"/>
    </row>
    <row r="135" spans="2:33" s="9" customFormat="1" x14ac:dyDescent="0.25">
      <c r="B135" s="10"/>
      <c r="D135" s="11"/>
      <c r="AG135" s="18"/>
    </row>
    <row r="136" spans="2:33" s="9" customFormat="1" x14ac:dyDescent="0.25">
      <c r="B136" s="10"/>
      <c r="D136" s="11"/>
      <c r="AG136" s="18"/>
    </row>
    <row r="137" spans="2:33" s="9" customFormat="1" x14ac:dyDescent="0.25">
      <c r="B137" s="10"/>
      <c r="D137" s="11"/>
      <c r="AG137" s="18"/>
    </row>
    <row r="138" spans="2:33" s="9" customFormat="1" x14ac:dyDescent="0.25">
      <c r="B138" s="10"/>
      <c r="D138" s="11"/>
      <c r="AG138" s="18"/>
    </row>
    <row r="139" spans="2:33" s="9" customFormat="1" x14ac:dyDescent="0.25">
      <c r="B139" s="10"/>
      <c r="D139" s="11"/>
      <c r="AG139" s="18"/>
    </row>
    <row r="140" spans="2:33" s="9" customFormat="1" x14ac:dyDescent="0.25">
      <c r="B140" s="10"/>
      <c r="D140" s="11"/>
      <c r="AG140" s="18"/>
    </row>
    <row r="141" spans="2:33" s="9" customFormat="1" x14ac:dyDescent="0.25">
      <c r="B141" s="10"/>
      <c r="D141" s="11"/>
      <c r="AG141" s="18"/>
    </row>
    <row r="142" spans="2:33" s="9" customFormat="1" x14ac:dyDescent="0.25">
      <c r="B142" s="10"/>
      <c r="D142" s="11"/>
      <c r="AG142" s="18"/>
    </row>
    <row r="143" spans="2:33" s="9" customFormat="1" x14ac:dyDescent="0.25">
      <c r="B143" s="10"/>
      <c r="D143" s="11"/>
      <c r="AG143" s="18"/>
    </row>
    <row r="144" spans="2:33" s="9" customFormat="1" x14ac:dyDescent="0.25">
      <c r="B144" s="10"/>
      <c r="D144" s="11"/>
      <c r="AG144" s="18"/>
    </row>
    <row r="145" spans="2:33" s="9" customFormat="1" x14ac:dyDescent="0.25">
      <c r="B145" s="10"/>
      <c r="D145" s="11"/>
      <c r="AG145" s="18"/>
    </row>
    <row r="146" spans="2:33" s="9" customFormat="1" x14ac:dyDescent="0.25">
      <c r="B146" s="10"/>
      <c r="D146" s="11"/>
      <c r="AG146" s="18"/>
    </row>
    <row r="147" spans="2:33" s="9" customFormat="1" x14ac:dyDescent="0.25">
      <c r="B147" s="10"/>
      <c r="D147" s="11"/>
      <c r="AG147" s="18"/>
    </row>
    <row r="148" spans="2:33" s="9" customFormat="1" x14ac:dyDescent="0.25">
      <c r="B148" s="10"/>
      <c r="D148" s="11"/>
      <c r="AG148" s="18"/>
    </row>
    <row r="149" spans="2:33" s="9" customFormat="1" x14ac:dyDescent="0.25">
      <c r="B149" s="10"/>
      <c r="D149" s="11"/>
      <c r="AG149" s="18"/>
    </row>
    <row r="150" spans="2:33" s="9" customFormat="1" x14ac:dyDescent="0.25">
      <c r="B150" s="10"/>
      <c r="D150" s="11"/>
      <c r="AG150" s="18"/>
    </row>
    <row r="151" spans="2:33" s="9" customFormat="1" x14ac:dyDescent="0.25">
      <c r="B151" s="10"/>
      <c r="D151" s="11"/>
      <c r="AG151" s="18"/>
    </row>
    <row r="152" spans="2:33" s="9" customFormat="1" x14ac:dyDescent="0.25">
      <c r="B152" s="10"/>
      <c r="D152" s="11"/>
      <c r="AG152" s="18"/>
    </row>
  </sheetData>
  <mergeCells count="176">
    <mergeCell ref="AI2:AJ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4EF8-F98F-4812-A65F-F2763EE76D50}">
  <sheetPr>
    <tabColor theme="5"/>
  </sheetPr>
  <dimension ref="A1:BI152"/>
  <sheetViews>
    <sheetView topLeftCell="D1" zoomScale="115" zoomScaleNormal="115" workbookViewId="0">
      <selection activeCell="AI58" sqref="AI58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11.42578125" style="9"/>
    <col min="15" max="15" width="21.85546875" style="9" customWidth="1"/>
    <col min="16" max="16" width="7.42578125" style="9" customWidth="1"/>
    <col min="17" max="18" width="11.42578125" style="9" customWidth="1"/>
    <col min="19" max="19" width="4" style="9" hidden="1" customWidth="1"/>
    <col min="20" max="20" width="0" style="9" hidden="1" customWidth="1"/>
    <col min="21" max="21" width="21.85546875" style="9" hidden="1" customWidth="1"/>
    <col min="22" max="22" width="7.42578125" style="9" hidden="1" customWidth="1"/>
    <col min="23" max="24" width="11.42578125" style="9" hidden="1" customWidth="1"/>
    <col min="25" max="25" width="4.5703125" style="9" hidden="1" customWidth="1"/>
    <col min="26" max="26" width="11.42578125" style="9" hidden="1" customWidth="1"/>
    <col min="27" max="27" width="21.85546875" style="9" hidden="1" customWidth="1"/>
    <col min="28" max="31" width="11.42578125" style="9" hidden="1" customWidth="1"/>
    <col min="32" max="32" width="3.42578125" style="9" customWidth="1"/>
    <col min="33" max="33" width="0.85546875" style="18" customWidth="1"/>
    <col min="34" max="34" width="11.42578125" style="9"/>
    <col min="35" max="35" width="24" style="9" customWidth="1"/>
    <col min="36" max="61" width="11.42578125" style="9"/>
  </cols>
  <sheetData>
    <row r="1" spans="1:61" s="9" customFormat="1" x14ac:dyDescent="0.25">
      <c r="B1" s="10"/>
      <c r="D1" s="11"/>
      <c r="AG1" s="18"/>
    </row>
    <row r="2" spans="1:61" s="9" customFormat="1" ht="28.5" customHeight="1" thickBot="1" x14ac:dyDescent="0.3">
      <c r="B2" s="10"/>
      <c r="D2" s="11"/>
      <c r="AG2" s="18"/>
      <c r="AI2" s="86" t="s">
        <v>53</v>
      </c>
      <c r="AJ2" s="86"/>
      <c r="AK2" s="26"/>
      <c r="AL2" s="26"/>
      <c r="AM2" s="26"/>
    </row>
    <row r="3" spans="1:61" ht="22.5" customHeight="1" thickBot="1" x14ac:dyDescent="0.3">
      <c r="C3" s="87" t="s">
        <v>510</v>
      </c>
      <c r="D3" s="88"/>
      <c r="E3" s="88"/>
      <c r="F3" s="89"/>
      <c r="H3" s="8"/>
      <c r="I3" s="87" t="s">
        <v>511</v>
      </c>
      <c r="J3" s="88"/>
      <c r="K3" s="88"/>
      <c r="L3" s="89"/>
      <c r="N3" s="8"/>
      <c r="O3" s="87" t="s">
        <v>512</v>
      </c>
      <c r="P3" s="88"/>
      <c r="Q3" s="88"/>
      <c r="R3" s="89"/>
      <c r="T3" s="8"/>
      <c r="U3" s="87" t="s">
        <v>48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F3" s="20"/>
      <c r="AI3" s="24"/>
      <c r="AJ3" s="24"/>
      <c r="AK3" s="24"/>
      <c r="AL3" s="24"/>
      <c r="AM3" s="24"/>
    </row>
    <row r="4" spans="1:61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881</v>
      </c>
      <c r="E4" s="94"/>
      <c r="F4" s="95"/>
      <c r="G4" s="29"/>
      <c r="H4" s="91" t="s">
        <v>9</v>
      </c>
      <c r="I4" s="27" t="s">
        <v>1</v>
      </c>
      <c r="J4" s="12">
        <f>J6+J7+J8+J9+J10+J11</f>
        <v>0</v>
      </c>
      <c r="K4" s="94"/>
      <c r="L4" s="95"/>
      <c r="M4" s="29"/>
      <c r="N4" s="91" t="s">
        <v>9</v>
      </c>
      <c r="O4" s="27" t="s">
        <v>1</v>
      </c>
      <c r="P4" s="12">
        <f>P6+P7+P8+P9+P10+P11</f>
        <v>0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0"/>
      <c r="AG4" s="31"/>
      <c r="AH4" s="29"/>
      <c r="AI4" s="28" t="s">
        <v>1</v>
      </c>
      <c r="AJ4" s="12">
        <f>AJ6+AJ7+AJ8+AJ9+AJ10+AJ11</f>
        <v>881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5.75" customHeight="1" x14ac:dyDescent="0.25">
      <c r="B5" s="92"/>
      <c r="C5" s="6" t="s">
        <v>0</v>
      </c>
      <c r="D5" s="63">
        <v>280</v>
      </c>
      <c r="E5" s="96"/>
      <c r="F5" s="97"/>
      <c r="H5" s="92"/>
      <c r="I5" s="6" t="s">
        <v>0</v>
      </c>
      <c r="J5" s="16">
        <v>0</v>
      </c>
      <c r="K5" s="96"/>
      <c r="L5" s="97"/>
      <c r="N5" s="92"/>
      <c r="O5" s="6" t="s">
        <v>0</v>
      </c>
      <c r="P5" s="16">
        <v>0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F5" s="17"/>
      <c r="AI5" s="6" t="s">
        <v>0</v>
      </c>
      <c r="AJ5" s="63">
        <v>280</v>
      </c>
    </row>
    <row r="6" spans="1:61" ht="15.75" customHeight="1" x14ac:dyDescent="0.25">
      <c r="B6" s="92"/>
      <c r="C6" s="2" t="s">
        <v>2</v>
      </c>
      <c r="D6" s="4">
        <v>204</v>
      </c>
      <c r="E6" s="96"/>
      <c r="F6" s="97"/>
      <c r="H6" s="92"/>
      <c r="I6" s="2" t="s">
        <v>2</v>
      </c>
      <c r="J6" s="4">
        <v>0</v>
      </c>
      <c r="K6" s="96"/>
      <c r="L6" s="97"/>
      <c r="N6" s="92"/>
      <c r="O6" s="2" t="s">
        <v>2</v>
      </c>
      <c r="P6" s="4">
        <v>0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F6" s="17"/>
      <c r="AI6" s="2" t="s">
        <v>2</v>
      </c>
      <c r="AJ6" s="4">
        <v>204</v>
      </c>
    </row>
    <row r="7" spans="1:61" x14ac:dyDescent="0.25">
      <c r="B7" s="92"/>
      <c r="C7" s="2" t="s">
        <v>3</v>
      </c>
      <c r="D7" s="4">
        <v>285</v>
      </c>
      <c r="E7" s="96"/>
      <c r="F7" s="97"/>
      <c r="H7" s="92"/>
      <c r="I7" s="2" t="s">
        <v>3</v>
      </c>
      <c r="J7" s="4">
        <v>0</v>
      </c>
      <c r="K7" s="96"/>
      <c r="L7" s="97"/>
      <c r="N7" s="92"/>
      <c r="O7" s="2" t="s">
        <v>3</v>
      </c>
      <c r="P7" s="4">
        <v>0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F7" s="17"/>
      <c r="AI7" s="2" t="s">
        <v>3</v>
      </c>
      <c r="AJ7" s="4">
        <v>285</v>
      </c>
    </row>
    <row r="8" spans="1:61" x14ac:dyDescent="0.25">
      <c r="B8" s="92"/>
      <c r="C8" s="2" t="s">
        <v>4</v>
      </c>
      <c r="D8" s="4">
        <v>171</v>
      </c>
      <c r="E8" s="96"/>
      <c r="F8" s="97"/>
      <c r="H8" s="92"/>
      <c r="I8" s="2" t="s">
        <v>4</v>
      </c>
      <c r="J8" s="4">
        <v>0</v>
      </c>
      <c r="K8" s="96"/>
      <c r="L8" s="97"/>
      <c r="N8" s="92"/>
      <c r="O8" s="2" t="s">
        <v>4</v>
      </c>
      <c r="P8" s="4">
        <v>0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F8" s="17"/>
      <c r="AI8" s="2" t="s">
        <v>4</v>
      </c>
      <c r="AJ8" s="4">
        <v>171</v>
      </c>
    </row>
    <row r="9" spans="1:61" x14ac:dyDescent="0.25">
      <c r="B9" s="92"/>
      <c r="C9" s="2" t="s">
        <v>5</v>
      </c>
      <c r="D9" s="4">
        <v>194</v>
      </c>
      <c r="E9" s="96"/>
      <c r="F9" s="97"/>
      <c r="H9" s="92"/>
      <c r="I9" s="2" t="s">
        <v>5</v>
      </c>
      <c r="J9" s="4">
        <v>0</v>
      </c>
      <c r="K9" s="96"/>
      <c r="L9" s="97"/>
      <c r="N9" s="92"/>
      <c r="O9" s="2" t="s">
        <v>5</v>
      </c>
      <c r="P9" s="4">
        <v>0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F9" s="17"/>
      <c r="AI9" s="2" t="s">
        <v>5</v>
      </c>
      <c r="AJ9" s="4">
        <v>194</v>
      </c>
    </row>
    <row r="10" spans="1:61" ht="15.75" thickBot="1" x14ac:dyDescent="0.3">
      <c r="B10" s="92"/>
      <c r="C10" s="7" t="s">
        <v>6</v>
      </c>
      <c r="D10" s="15">
        <v>11</v>
      </c>
      <c r="E10" s="96"/>
      <c r="F10" s="97"/>
      <c r="H10" s="92"/>
      <c r="I10" s="7" t="s">
        <v>6</v>
      </c>
      <c r="J10" s="15">
        <v>0</v>
      </c>
      <c r="K10" s="96"/>
      <c r="L10" s="97"/>
      <c r="N10" s="92"/>
      <c r="O10" s="7" t="s">
        <v>6</v>
      </c>
      <c r="P10" s="15">
        <v>0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F10" s="17"/>
      <c r="AI10" s="7" t="s">
        <v>6</v>
      </c>
      <c r="AJ10" s="15">
        <v>11</v>
      </c>
    </row>
    <row r="11" spans="1:61" ht="15.75" thickBot="1" x14ac:dyDescent="0.3">
      <c r="B11" s="92"/>
      <c r="C11" s="2" t="s">
        <v>7</v>
      </c>
      <c r="D11" s="4">
        <v>16</v>
      </c>
      <c r="E11" s="98" t="s">
        <v>33</v>
      </c>
      <c r="F11" s="99"/>
      <c r="H11" s="92"/>
      <c r="I11" s="2" t="s">
        <v>7</v>
      </c>
      <c r="J11" s="4">
        <v>0</v>
      </c>
      <c r="K11" s="98" t="s">
        <v>33</v>
      </c>
      <c r="L11" s="99"/>
      <c r="N11" s="92"/>
      <c r="O11" s="2" t="s">
        <v>7</v>
      </c>
      <c r="P11" s="4">
        <v>0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F11" s="19"/>
      <c r="AI11" s="2" t="s">
        <v>7</v>
      </c>
      <c r="AJ11" s="4">
        <v>16</v>
      </c>
    </row>
    <row r="12" spans="1:61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F12" s="17"/>
      <c r="AI12" s="2" t="s">
        <v>49</v>
      </c>
      <c r="AJ12" s="4">
        <v>0</v>
      </c>
    </row>
    <row r="13" spans="1:61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F13" s="17"/>
      <c r="AI13" s="2" t="s">
        <v>50</v>
      </c>
      <c r="AJ13" s="4">
        <v>0</v>
      </c>
    </row>
    <row r="14" spans="1:61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F14" s="17"/>
      <c r="AI14" s="2" t="s">
        <v>51</v>
      </c>
      <c r="AJ14" s="4">
        <v>0</v>
      </c>
    </row>
    <row r="15" spans="1:61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F15" s="19"/>
      <c r="AI15" s="3" t="s">
        <v>52</v>
      </c>
      <c r="AJ15" s="5">
        <v>0</v>
      </c>
    </row>
    <row r="16" spans="1:61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G16" s="18"/>
    </row>
    <row r="17" spans="2:36" x14ac:dyDescent="0.25">
      <c r="B17" s="104" t="s">
        <v>28</v>
      </c>
      <c r="C17" s="6" t="s">
        <v>10</v>
      </c>
      <c r="D17" s="107" t="s">
        <v>34</v>
      </c>
      <c r="E17" s="108"/>
      <c r="F17" s="9"/>
      <c r="H17" s="104" t="s">
        <v>28</v>
      </c>
      <c r="I17" s="6" t="s">
        <v>10</v>
      </c>
      <c r="J17" s="107" t="s">
        <v>34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34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6" ht="15.75" thickBot="1" x14ac:dyDescent="0.3">
      <c r="B18" s="105"/>
      <c r="C18" s="2" t="s">
        <v>11</v>
      </c>
      <c r="D18" s="100" t="s">
        <v>35</v>
      </c>
      <c r="E18" s="101"/>
      <c r="F18" s="9"/>
      <c r="H18" s="105"/>
      <c r="I18" s="2" t="s">
        <v>11</v>
      </c>
      <c r="J18" s="100" t="s">
        <v>35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35</v>
      </c>
      <c r="W18" s="101"/>
      <c r="Z18" s="105"/>
      <c r="AA18" s="2" t="s">
        <v>11</v>
      </c>
      <c r="AB18" s="100" t="s">
        <v>35</v>
      </c>
      <c r="AC18" s="101"/>
    </row>
    <row r="19" spans="2:36" ht="15.75" thickBot="1" x14ac:dyDescent="0.3">
      <c r="B19" s="105"/>
      <c r="C19" s="2" t="s">
        <v>12</v>
      </c>
      <c r="D19" s="100" t="s">
        <v>101</v>
      </c>
      <c r="E19" s="101"/>
      <c r="F19" s="9"/>
      <c r="H19" s="105"/>
      <c r="I19" s="2" t="s">
        <v>12</v>
      </c>
      <c r="J19" s="100" t="s">
        <v>513</v>
      </c>
      <c r="K19" s="101"/>
      <c r="N19" s="105"/>
      <c r="O19" s="2" t="s">
        <v>12</v>
      </c>
      <c r="P19" s="100" t="s">
        <v>101</v>
      </c>
      <c r="Q19" s="101"/>
      <c r="T19" s="105"/>
      <c r="U19" s="2" t="s">
        <v>12</v>
      </c>
      <c r="V19" s="100" t="s">
        <v>36</v>
      </c>
      <c r="W19" s="101"/>
      <c r="Z19" s="105"/>
      <c r="AA19" s="2" t="s">
        <v>12</v>
      </c>
      <c r="AB19" s="100" t="s">
        <v>36</v>
      </c>
      <c r="AC19" s="101"/>
      <c r="AI19" s="51" t="s">
        <v>54</v>
      </c>
      <c r="AJ19" s="52">
        <f>+AJ20+AJ21</f>
        <v>0</v>
      </c>
    </row>
    <row r="20" spans="2:36" ht="15.75" thickBot="1" x14ac:dyDescent="0.3">
      <c r="B20" s="106"/>
      <c r="C20" s="3" t="s">
        <v>13</v>
      </c>
      <c r="D20" s="102" t="s">
        <v>514</v>
      </c>
      <c r="E20" s="103"/>
      <c r="F20" s="9"/>
      <c r="H20" s="106"/>
      <c r="I20" s="3" t="s">
        <v>13</v>
      </c>
      <c r="J20" s="102" t="s">
        <v>515</v>
      </c>
      <c r="K20" s="103"/>
      <c r="N20" s="106"/>
      <c r="O20" s="3" t="s">
        <v>13</v>
      </c>
      <c r="P20" s="102" t="s">
        <v>516</v>
      </c>
      <c r="Q20" s="103"/>
      <c r="T20" s="106"/>
      <c r="U20" s="3" t="s">
        <v>13</v>
      </c>
      <c r="V20" s="102" t="s">
        <v>36</v>
      </c>
      <c r="W20" s="103"/>
      <c r="Z20" s="106"/>
      <c r="AA20" s="3" t="s">
        <v>13</v>
      </c>
      <c r="AB20" s="102" t="s">
        <v>36</v>
      </c>
      <c r="AC20" s="103"/>
      <c r="AI20" s="49" t="s">
        <v>55</v>
      </c>
      <c r="AJ20" s="50"/>
    </row>
    <row r="21" spans="2:36" ht="15.75" thickBot="1" x14ac:dyDescent="0.3">
      <c r="B21" s="109" t="s">
        <v>29</v>
      </c>
      <c r="C21" s="6" t="s">
        <v>14</v>
      </c>
      <c r="D21" s="107" t="s">
        <v>517</v>
      </c>
      <c r="E21" s="108"/>
      <c r="F21" s="9"/>
      <c r="H21" s="109" t="s">
        <v>29</v>
      </c>
      <c r="I21" s="6" t="s">
        <v>14</v>
      </c>
      <c r="J21" s="107" t="s">
        <v>518</v>
      </c>
      <c r="K21" s="108"/>
      <c r="N21" s="109" t="s">
        <v>29</v>
      </c>
      <c r="O21" s="6" t="s">
        <v>14</v>
      </c>
      <c r="P21" s="107" t="s">
        <v>519</v>
      </c>
      <c r="Q21" s="108"/>
      <c r="T21" s="109" t="s">
        <v>29</v>
      </c>
      <c r="U21" s="6" t="s">
        <v>14</v>
      </c>
      <c r="V21" s="107" t="s">
        <v>37</v>
      </c>
      <c r="W21" s="108"/>
      <c r="Z21" s="109" t="s">
        <v>29</v>
      </c>
      <c r="AA21" s="6" t="s">
        <v>14</v>
      </c>
      <c r="AB21" s="107" t="s">
        <v>37</v>
      </c>
      <c r="AC21" s="108"/>
      <c r="AI21" s="47" t="s">
        <v>56</v>
      </c>
      <c r="AJ21" s="48"/>
    </row>
    <row r="22" spans="2:36" x14ac:dyDescent="0.25">
      <c r="B22" s="110"/>
      <c r="C22" s="2" t="s">
        <v>15</v>
      </c>
      <c r="D22" s="137">
        <v>16023409</v>
      </c>
      <c r="E22" s="101"/>
      <c r="F22" s="9"/>
      <c r="H22" s="110"/>
      <c r="I22" s="2" t="s">
        <v>15</v>
      </c>
      <c r="J22" s="137">
        <v>16320508</v>
      </c>
      <c r="K22" s="101"/>
      <c r="N22" s="110"/>
      <c r="O22" s="2" t="s">
        <v>15</v>
      </c>
      <c r="P22" s="100" t="s">
        <v>38</v>
      </c>
      <c r="Q22" s="101"/>
      <c r="T22" s="110"/>
      <c r="U22" s="2" t="s">
        <v>15</v>
      </c>
      <c r="V22" s="100" t="s">
        <v>38</v>
      </c>
      <c r="W22" s="101"/>
      <c r="Z22" s="110"/>
      <c r="AA22" s="2" t="s">
        <v>15</v>
      </c>
      <c r="AB22" s="100" t="s">
        <v>38</v>
      </c>
      <c r="AC22" s="101"/>
    </row>
    <row r="23" spans="2:36" x14ac:dyDescent="0.25">
      <c r="B23" s="110"/>
      <c r="C23" s="2" t="s">
        <v>16</v>
      </c>
      <c r="D23" s="100" t="s">
        <v>39</v>
      </c>
      <c r="E23" s="101"/>
      <c r="F23" s="9"/>
      <c r="H23" s="110"/>
      <c r="I23" s="2" t="s">
        <v>16</v>
      </c>
      <c r="J23" s="100">
        <v>4129064285</v>
      </c>
      <c r="K23" s="101"/>
      <c r="N23" s="110"/>
      <c r="O23" s="2" t="s">
        <v>16</v>
      </c>
      <c r="P23" s="100">
        <v>4145945228</v>
      </c>
      <c r="Q23" s="101"/>
      <c r="T23" s="110"/>
      <c r="U23" s="2" t="s">
        <v>16</v>
      </c>
      <c r="V23" s="100" t="s">
        <v>39</v>
      </c>
      <c r="W23" s="101"/>
      <c r="Z23" s="110"/>
      <c r="AA23" s="2" t="s">
        <v>16</v>
      </c>
      <c r="AB23" s="100" t="s">
        <v>39</v>
      </c>
      <c r="AC23" s="101"/>
    </row>
    <row r="24" spans="2:36" ht="15.75" thickBot="1" x14ac:dyDescent="0.3">
      <c r="B24" s="111"/>
      <c r="C24" s="3" t="s">
        <v>17</v>
      </c>
      <c r="D24" s="102" t="s">
        <v>520</v>
      </c>
      <c r="E24" s="103"/>
      <c r="F24" s="9"/>
      <c r="H24" s="111"/>
      <c r="I24" s="3" t="s">
        <v>17</v>
      </c>
      <c r="J24" s="102" t="s">
        <v>217</v>
      </c>
      <c r="K24" s="103"/>
      <c r="N24" s="111"/>
      <c r="O24" s="3" t="s">
        <v>17</v>
      </c>
      <c r="P24" s="102" t="s">
        <v>521</v>
      </c>
      <c r="Q24" s="103"/>
      <c r="T24" s="111"/>
      <c r="U24" s="3" t="s">
        <v>17</v>
      </c>
      <c r="V24" s="102" t="s">
        <v>40</v>
      </c>
      <c r="W24" s="103"/>
      <c r="Z24" s="111"/>
      <c r="AA24" s="3" t="s">
        <v>17</v>
      </c>
      <c r="AB24" s="102" t="s">
        <v>40</v>
      </c>
      <c r="AC24" s="103"/>
    </row>
    <row r="25" spans="2:36" x14ac:dyDescent="0.25">
      <c r="B25" s="109" t="s">
        <v>30</v>
      </c>
      <c r="C25" s="6" t="s">
        <v>18</v>
      </c>
      <c r="D25" s="107" t="s">
        <v>522</v>
      </c>
      <c r="E25" s="108"/>
      <c r="F25" s="9"/>
      <c r="H25" s="109" t="s">
        <v>30</v>
      </c>
      <c r="I25" s="6" t="s">
        <v>18</v>
      </c>
      <c r="J25" s="107" t="s">
        <v>523</v>
      </c>
      <c r="K25" s="108"/>
      <c r="N25" s="109" t="s">
        <v>30</v>
      </c>
      <c r="O25" s="6" t="s">
        <v>18</v>
      </c>
      <c r="P25" s="107" t="s">
        <v>524</v>
      </c>
      <c r="Q25" s="108"/>
      <c r="T25" s="109" t="s">
        <v>30</v>
      </c>
      <c r="U25" s="6" t="s">
        <v>18</v>
      </c>
      <c r="V25" s="107" t="s">
        <v>41</v>
      </c>
      <c r="W25" s="108"/>
      <c r="Z25" s="109" t="s">
        <v>30</v>
      </c>
      <c r="AA25" s="6" t="s">
        <v>18</v>
      </c>
      <c r="AB25" s="107" t="s">
        <v>41</v>
      </c>
      <c r="AC25" s="108"/>
    </row>
    <row r="26" spans="2:36" x14ac:dyDescent="0.25">
      <c r="B26" s="110"/>
      <c r="C26" s="2" t="s">
        <v>15</v>
      </c>
      <c r="D26" s="100" t="s">
        <v>38</v>
      </c>
      <c r="E26" s="101"/>
      <c r="F26" s="9"/>
      <c r="H26" s="110"/>
      <c r="I26" s="2" t="s">
        <v>15</v>
      </c>
      <c r="J26" s="137">
        <v>16228651</v>
      </c>
      <c r="K26" s="101"/>
      <c r="N26" s="110"/>
      <c r="O26" s="2" t="s">
        <v>15</v>
      </c>
      <c r="P26" s="137">
        <v>7827089</v>
      </c>
      <c r="Q26" s="101"/>
      <c r="T26" s="110"/>
      <c r="U26" s="2" t="s">
        <v>15</v>
      </c>
      <c r="V26" s="100" t="s">
        <v>38</v>
      </c>
      <c r="W26" s="101"/>
      <c r="Z26" s="110"/>
      <c r="AA26" s="2" t="s">
        <v>15</v>
      </c>
      <c r="AB26" s="100" t="s">
        <v>38</v>
      </c>
      <c r="AC26" s="101"/>
    </row>
    <row r="27" spans="2:36" x14ac:dyDescent="0.25">
      <c r="B27" s="110"/>
      <c r="C27" s="2" t="s">
        <v>16</v>
      </c>
      <c r="D27" s="100">
        <v>4125650123</v>
      </c>
      <c r="E27" s="101"/>
      <c r="F27" s="9"/>
      <c r="H27" s="110"/>
      <c r="I27" s="2" t="s">
        <v>16</v>
      </c>
      <c r="J27" s="100" t="s">
        <v>525</v>
      </c>
      <c r="K27" s="101"/>
      <c r="N27" s="110"/>
      <c r="O27" s="2" t="s">
        <v>16</v>
      </c>
      <c r="P27" s="100">
        <v>4166090090</v>
      </c>
      <c r="Q27" s="101"/>
      <c r="T27" s="110"/>
      <c r="U27" s="2" t="s">
        <v>16</v>
      </c>
      <c r="V27" s="100" t="s">
        <v>39</v>
      </c>
      <c r="W27" s="101"/>
      <c r="Z27" s="110"/>
      <c r="AA27" s="2" t="s">
        <v>16</v>
      </c>
      <c r="AB27" s="100" t="s">
        <v>39</v>
      </c>
      <c r="AC27" s="101"/>
    </row>
    <row r="28" spans="2:36" x14ac:dyDescent="0.25">
      <c r="B28" s="110"/>
      <c r="C28" s="2" t="s">
        <v>19</v>
      </c>
      <c r="D28" s="100" t="s">
        <v>251</v>
      </c>
      <c r="E28" s="101"/>
      <c r="F28" s="9"/>
      <c r="H28" s="110"/>
      <c r="I28" s="2" t="s">
        <v>19</v>
      </c>
      <c r="J28" s="100" t="s">
        <v>194</v>
      </c>
      <c r="K28" s="101"/>
      <c r="N28" s="110"/>
      <c r="O28" s="2" t="s">
        <v>19</v>
      </c>
      <c r="P28" s="100" t="s">
        <v>526</v>
      </c>
      <c r="Q28" s="101"/>
      <c r="T28" s="110"/>
      <c r="U28" s="2" t="s">
        <v>19</v>
      </c>
      <c r="V28" s="100" t="s">
        <v>42</v>
      </c>
      <c r="W28" s="101"/>
      <c r="Z28" s="110"/>
      <c r="AA28" s="2" t="s">
        <v>19</v>
      </c>
      <c r="AB28" s="100" t="s">
        <v>42</v>
      </c>
      <c r="AC28" s="101"/>
    </row>
    <row r="29" spans="2:36" x14ac:dyDescent="0.25">
      <c r="B29" s="110"/>
      <c r="C29" s="2" t="s">
        <v>20</v>
      </c>
      <c r="D29" s="100">
        <v>150</v>
      </c>
      <c r="E29" s="101"/>
      <c r="F29" s="9"/>
      <c r="H29" s="110"/>
      <c r="I29" s="2" t="s">
        <v>20</v>
      </c>
      <c r="J29" s="100" t="s">
        <v>527</v>
      </c>
      <c r="K29" s="101"/>
      <c r="N29" s="110"/>
      <c r="O29" s="2" t="s">
        <v>20</v>
      </c>
      <c r="P29" s="100">
        <v>23</v>
      </c>
      <c r="Q29" s="101"/>
      <c r="T29" s="110"/>
      <c r="U29" s="2" t="s">
        <v>20</v>
      </c>
      <c r="V29" s="100" t="s">
        <v>8</v>
      </c>
      <c r="W29" s="101"/>
      <c r="Z29" s="110"/>
      <c r="AA29" s="2" t="s">
        <v>20</v>
      </c>
      <c r="AB29" s="100" t="s">
        <v>8</v>
      </c>
      <c r="AC29" s="101"/>
    </row>
    <row r="30" spans="2:36" ht="15.75" thickBot="1" x14ac:dyDescent="0.3">
      <c r="B30" s="111"/>
      <c r="C30" s="3" t="s">
        <v>21</v>
      </c>
      <c r="D30" s="102" t="s">
        <v>528</v>
      </c>
      <c r="E30" s="103"/>
      <c r="F30" s="9"/>
      <c r="H30" s="111"/>
      <c r="I30" s="3" t="s">
        <v>21</v>
      </c>
      <c r="J30" s="100" t="s">
        <v>527</v>
      </c>
      <c r="K30" s="101"/>
      <c r="N30" s="111"/>
      <c r="O30" s="3" t="s">
        <v>21</v>
      </c>
      <c r="P30" s="102">
        <v>2</v>
      </c>
      <c r="Q30" s="103"/>
      <c r="T30" s="111"/>
      <c r="U30" s="3" t="s">
        <v>21</v>
      </c>
      <c r="V30" s="102" t="s">
        <v>8</v>
      </c>
      <c r="W30" s="103"/>
      <c r="Z30" s="111"/>
      <c r="AA30" s="3" t="s">
        <v>21</v>
      </c>
      <c r="AB30" s="102" t="s">
        <v>8</v>
      </c>
      <c r="AC30" s="103"/>
    </row>
    <row r="31" spans="2:36" x14ac:dyDescent="0.25">
      <c r="B31" s="104" t="s">
        <v>32</v>
      </c>
      <c r="C31" s="6" t="s">
        <v>23</v>
      </c>
      <c r="D31" s="107" t="s">
        <v>87</v>
      </c>
      <c r="E31" s="108"/>
      <c r="F31" s="9"/>
      <c r="H31" s="104" t="s">
        <v>32</v>
      </c>
      <c r="I31" s="6" t="s">
        <v>23</v>
      </c>
      <c r="J31" s="107" t="s">
        <v>88</v>
      </c>
      <c r="K31" s="108"/>
      <c r="N31" s="104" t="s">
        <v>32</v>
      </c>
      <c r="O31" s="6" t="s">
        <v>23</v>
      </c>
      <c r="P31" s="107" t="s">
        <v>87</v>
      </c>
      <c r="Q31" s="108"/>
      <c r="T31" s="104" t="s">
        <v>32</v>
      </c>
      <c r="U31" s="6" t="s">
        <v>23</v>
      </c>
      <c r="V31" s="107" t="s">
        <v>22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6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88</v>
      </c>
      <c r="K32" s="113"/>
      <c r="N32" s="105"/>
      <c r="O32" s="2" t="s">
        <v>24</v>
      </c>
      <c r="P32" s="112" t="s">
        <v>87</v>
      </c>
      <c r="Q32" s="113"/>
      <c r="T32" s="105"/>
      <c r="U32" s="2" t="s">
        <v>24</v>
      </c>
      <c r="V32" s="112" t="s">
        <v>22</v>
      </c>
      <c r="W32" s="113"/>
      <c r="Z32" s="105"/>
      <c r="AA32" s="2" t="s">
        <v>24</v>
      </c>
      <c r="AB32" s="112" t="s">
        <v>22</v>
      </c>
      <c r="AC32" s="113"/>
    </row>
    <row r="33" spans="2:33" x14ac:dyDescent="0.25">
      <c r="B33" s="105"/>
      <c r="C33" s="2" t="s">
        <v>25</v>
      </c>
      <c r="D33" s="112" t="s">
        <v>87</v>
      </c>
      <c r="E33" s="113"/>
      <c r="F33" s="9"/>
      <c r="H33" s="105"/>
      <c r="I33" s="2" t="s">
        <v>25</v>
      </c>
      <c r="J33" s="112" t="s">
        <v>88</v>
      </c>
      <c r="K33" s="113"/>
      <c r="N33" s="105"/>
      <c r="O33" s="2" t="s">
        <v>25</v>
      </c>
      <c r="P33" s="112" t="s">
        <v>87</v>
      </c>
      <c r="Q33" s="113"/>
      <c r="T33" s="105"/>
      <c r="U33" s="2" t="s">
        <v>25</v>
      </c>
      <c r="V33" s="112" t="s">
        <v>22</v>
      </c>
      <c r="W33" s="113"/>
      <c r="Z33" s="105"/>
      <c r="AA33" s="2" t="s">
        <v>25</v>
      </c>
      <c r="AB33" s="112" t="s">
        <v>22</v>
      </c>
      <c r="AC33" s="113"/>
    </row>
    <row r="34" spans="2:33" ht="15.75" thickBot="1" x14ac:dyDescent="0.3">
      <c r="B34" s="105"/>
      <c r="C34" s="7" t="s">
        <v>26</v>
      </c>
      <c r="D34" s="114" t="s">
        <v>87</v>
      </c>
      <c r="E34" s="115"/>
      <c r="F34" s="9"/>
      <c r="H34" s="105"/>
      <c r="I34" s="7" t="s">
        <v>26</v>
      </c>
      <c r="J34" s="114" t="s">
        <v>87</v>
      </c>
      <c r="K34" s="115"/>
      <c r="N34" s="105"/>
      <c r="O34" s="7" t="s">
        <v>26</v>
      </c>
      <c r="P34" s="114" t="s">
        <v>88</v>
      </c>
      <c r="Q34" s="115"/>
      <c r="T34" s="105"/>
      <c r="U34" s="7" t="s">
        <v>26</v>
      </c>
      <c r="V34" s="114" t="s">
        <v>22</v>
      </c>
      <c r="W34" s="115"/>
      <c r="Z34" s="105"/>
      <c r="AA34" s="7" t="s">
        <v>26</v>
      </c>
      <c r="AB34" s="114" t="s">
        <v>22</v>
      </c>
      <c r="AC34" s="115"/>
    </row>
    <row r="35" spans="2:33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  <c r="AF35" s="21"/>
    </row>
    <row r="36" spans="2:33" ht="15.75" thickBot="1" x14ac:dyDescent="0.3">
      <c r="B36" s="110"/>
      <c r="C36" s="139" t="s">
        <v>529</v>
      </c>
      <c r="D36" s="140"/>
      <c r="E36" s="140"/>
      <c r="F36" s="141"/>
      <c r="H36" s="110"/>
      <c r="I36" s="119" t="s">
        <v>530</v>
      </c>
      <c r="J36" s="120"/>
      <c r="K36" s="120"/>
      <c r="L36" s="121"/>
      <c r="N36" s="110"/>
      <c r="O36" s="119" t="s">
        <v>531</v>
      </c>
      <c r="P36" s="120"/>
      <c r="Q36" s="120"/>
      <c r="R36" s="121"/>
      <c r="T36" s="110"/>
      <c r="U36" s="119" t="s">
        <v>43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  <c r="AF36" s="22"/>
    </row>
    <row r="37" spans="2:33" ht="15.75" thickBot="1" x14ac:dyDescent="0.3">
      <c r="B37" s="110"/>
      <c r="C37" s="122" t="s">
        <v>532</v>
      </c>
      <c r="D37" s="123"/>
      <c r="E37" s="123"/>
      <c r="F37" s="124"/>
      <c r="H37" s="110"/>
      <c r="I37" s="119" t="s">
        <v>533</v>
      </c>
      <c r="J37" s="120"/>
      <c r="K37" s="120"/>
      <c r="L37" s="121"/>
      <c r="N37" s="110"/>
      <c r="O37" s="122" t="s">
        <v>534</v>
      </c>
      <c r="P37" s="123"/>
      <c r="Q37" s="123"/>
      <c r="R37" s="124"/>
      <c r="T37" s="110"/>
      <c r="U37" s="122" t="s">
        <v>43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  <c r="AF37" s="22"/>
    </row>
    <row r="38" spans="2:33" ht="15.75" thickBot="1" x14ac:dyDescent="0.3">
      <c r="B38" s="110"/>
      <c r="C38" s="122" t="s">
        <v>535</v>
      </c>
      <c r="D38" s="123"/>
      <c r="E38" s="123"/>
      <c r="F38" s="124"/>
      <c r="H38" s="110"/>
      <c r="I38" s="119"/>
      <c r="J38" s="120"/>
      <c r="K38" s="120"/>
      <c r="L38" s="121"/>
      <c r="N38" s="110"/>
      <c r="O38" s="122" t="s">
        <v>536</v>
      </c>
      <c r="P38" s="123"/>
      <c r="Q38" s="123"/>
      <c r="R38" s="124"/>
      <c r="T38" s="110"/>
      <c r="U38" s="122" t="s">
        <v>43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  <c r="AF38" s="22"/>
    </row>
    <row r="39" spans="2:33" ht="15.75" thickBot="1" x14ac:dyDescent="0.3">
      <c r="B39" s="111"/>
      <c r="C39" s="125"/>
      <c r="D39" s="126"/>
      <c r="E39" s="126"/>
      <c r="F39" s="127"/>
      <c r="H39" s="111"/>
      <c r="I39" s="119"/>
      <c r="J39" s="120"/>
      <c r="K39" s="120"/>
      <c r="L39" s="121"/>
      <c r="N39" s="111"/>
      <c r="O39" s="125"/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  <c r="AF39" s="22"/>
    </row>
    <row r="40" spans="2:33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G40" s="18"/>
    </row>
    <row r="41" spans="2:33" s="9" customFormat="1" x14ac:dyDescent="0.25">
      <c r="B41" s="10"/>
      <c r="C41" s="13" t="s">
        <v>44</v>
      </c>
      <c r="D41" s="130" t="s">
        <v>537</v>
      </c>
      <c r="E41" s="131"/>
      <c r="F41" s="132"/>
      <c r="H41" s="10"/>
      <c r="I41" s="13" t="s">
        <v>44</v>
      </c>
      <c r="J41" s="130" t="s">
        <v>537</v>
      </c>
      <c r="K41" s="131"/>
      <c r="L41" s="132"/>
      <c r="N41" s="10"/>
      <c r="O41" s="13" t="s">
        <v>44</v>
      </c>
      <c r="P41" s="130" t="s">
        <v>537</v>
      </c>
      <c r="Q41" s="131"/>
      <c r="R41" s="132"/>
      <c r="T41" s="10"/>
      <c r="U41" s="13" t="s">
        <v>44</v>
      </c>
      <c r="V41" s="130" t="s">
        <v>47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23"/>
      <c r="AG41" s="18"/>
    </row>
    <row r="42" spans="2:33" s="9" customFormat="1" ht="15.75" thickBot="1" x14ac:dyDescent="0.3">
      <c r="B42" s="10"/>
      <c r="C42" s="14" t="s">
        <v>45</v>
      </c>
      <c r="D42" s="128" t="s">
        <v>538</v>
      </c>
      <c r="E42" s="128"/>
      <c r="F42" s="129"/>
      <c r="H42" s="10"/>
      <c r="I42" s="14" t="s">
        <v>45</v>
      </c>
      <c r="J42" s="128" t="s">
        <v>538</v>
      </c>
      <c r="K42" s="128"/>
      <c r="L42" s="129"/>
      <c r="N42" s="10"/>
      <c r="O42" s="14" t="s">
        <v>45</v>
      </c>
      <c r="P42" s="128" t="s">
        <v>538</v>
      </c>
      <c r="Q42" s="128"/>
      <c r="R42" s="129"/>
      <c r="T42" s="10"/>
      <c r="U42" s="14" t="s">
        <v>45</v>
      </c>
      <c r="V42" s="128" t="s">
        <v>46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23"/>
      <c r="AG42" s="18"/>
    </row>
    <row r="43" spans="2:33" s="9" customFormat="1" x14ac:dyDescent="0.25">
      <c r="B43" s="10"/>
      <c r="D43" s="11"/>
      <c r="AG43" s="18"/>
    </row>
    <row r="44" spans="2:33" s="9" customFormat="1" x14ac:dyDescent="0.25">
      <c r="B44" s="10"/>
      <c r="D44" s="11"/>
      <c r="AG44" s="18"/>
    </row>
    <row r="45" spans="2:33" s="9" customFormat="1" x14ac:dyDescent="0.25">
      <c r="B45" s="10"/>
      <c r="D45" s="11"/>
      <c r="AG45" s="18"/>
    </row>
    <row r="46" spans="2:33" s="9" customFormat="1" x14ac:dyDescent="0.25">
      <c r="B46" s="10"/>
      <c r="D46" s="11"/>
      <c r="AG46" s="18"/>
    </row>
    <row r="47" spans="2:33" s="9" customFormat="1" x14ac:dyDescent="0.25">
      <c r="B47" s="10"/>
      <c r="D47" s="11"/>
      <c r="AG47" s="18"/>
    </row>
    <row r="48" spans="2:33" s="9" customFormat="1" x14ac:dyDescent="0.25">
      <c r="B48" s="10"/>
      <c r="D48" s="11"/>
      <c r="AG48" s="18"/>
    </row>
    <row r="49" spans="2:33" s="9" customFormat="1" x14ac:dyDescent="0.25">
      <c r="B49" s="10"/>
      <c r="D49" s="11"/>
      <c r="AG49" s="18"/>
    </row>
    <row r="50" spans="2:33" s="9" customFormat="1" x14ac:dyDescent="0.25">
      <c r="B50" s="10"/>
      <c r="D50" s="11"/>
      <c r="AG50" s="18"/>
    </row>
    <row r="51" spans="2:33" s="9" customFormat="1" x14ac:dyDescent="0.25">
      <c r="B51" s="10"/>
      <c r="D51" s="11"/>
      <c r="AG51" s="18"/>
    </row>
    <row r="52" spans="2:33" s="9" customFormat="1" x14ac:dyDescent="0.25">
      <c r="B52" s="10"/>
      <c r="D52" s="11"/>
      <c r="AG52" s="18"/>
    </row>
    <row r="53" spans="2:33" s="9" customFormat="1" x14ac:dyDescent="0.25">
      <c r="B53" s="10"/>
      <c r="D53" s="11"/>
      <c r="AG53" s="18"/>
    </row>
    <row r="54" spans="2:33" s="9" customFormat="1" x14ac:dyDescent="0.25">
      <c r="B54" s="10"/>
      <c r="D54" s="11"/>
      <c r="AG54" s="18"/>
    </row>
    <row r="55" spans="2:33" s="9" customFormat="1" x14ac:dyDescent="0.25">
      <c r="B55" s="10"/>
      <c r="D55" s="11"/>
      <c r="AG55" s="18"/>
    </row>
    <row r="56" spans="2:33" s="9" customFormat="1" x14ac:dyDescent="0.25">
      <c r="B56" s="10"/>
      <c r="D56" s="11"/>
      <c r="AG56" s="18"/>
    </row>
    <row r="57" spans="2:33" s="9" customFormat="1" x14ac:dyDescent="0.25">
      <c r="B57" s="10"/>
      <c r="D57" s="11"/>
      <c r="AG57" s="18"/>
    </row>
    <row r="58" spans="2:33" s="9" customFormat="1" x14ac:dyDescent="0.25">
      <c r="B58" s="10"/>
      <c r="D58" s="11"/>
      <c r="AG58" s="18"/>
    </row>
    <row r="59" spans="2:33" s="9" customFormat="1" x14ac:dyDescent="0.25">
      <c r="B59" s="10"/>
      <c r="D59" s="11"/>
      <c r="AG59" s="18"/>
    </row>
    <row r="60" spans="2:33" s="9" customFormat="1" x14ac:dyDescent="0.25">
      <c r="B60" s="10"/>
      <c r="D60" s="11"/>
      <c r="AG60" s="18"/>
    </row>
    <row r="61" spans="2:33" s="9" customFormat="1" x14ac:dyDescent="0.25">
      <c r="B61" s="10"/>
      <c r="D61" s="11"/>
      <c r="AG61" s="18"/>
    </row>
    <row r="62" spans="2:33" s="9" customFormat="1" x14ac:dyDescent="0.25">
      <c r="B62" s="10"/>
      <c r="D62" s="11"/>
      <c r="AG62" s="18"/>
    </row>
    <row r="63" spans="2:33" s="9" customFormat="1" x14ac:dyDescent="0.25">
      <c r="B63" s="10"/>
      <c r="D63" s="11"/>
      <c r="AG63" s="18"/>
    </row>
    <row r="64" spans="2:33" s="9" customFormat="1" x14ac:dyDescent="0.25">
      <c r="B64" s="10"/>
      <c r="D64" s="11"/>
      <c r="AG64" s="18"/>
    </row>
    <row r="65" spans="2:33" s="9" customFormat="1" x14ac:dyDescent="0.25">
      <c r="B65" s="10"/>
      <c r="D65" s="11"/>
      <c r="AG65" s="18"/>
    </row>
    <row r="66" spans="2:33" s="9" customFormat="1" x14ac:dyDescent="0.25">
      <c r="B66" s="10"/>
      <c r="D66" s="11"/>
      <c r="AG66" s="18"/>
    </row>
    <row r="67" spans="2:33" s="9" customFormat="1" x14ac:dyDescent="0.25">
      <c r="B67" s="10"/>
      <c r="D67" s="11"/>
      <c r="AG67" s="18"/>
    </row>
    <row r="68" spans="2:33" s="9" customFormat="1" x14ac:dyDescent="0.25">
      <c r="B68" s="10"/>
      <c r="D68" s="11"/>
      <c r="AG68" s="18"/>
    </row>
    <row r="69" spans="2:33" s="9" customFormat="1" x14ac:dyDescent="0.25">
      <c r="B69" s="10"/>
      <c r="D69" s="11"/>
      <c r="AG69" s="18"/>
    </row>
    <row r="70" spans="2:33" s="9" customFormat="1" x14ac:dyDescent="0.25">
      <c r="B70" s="10"/>
      <c r="D70" s="11"/>
      <c r="AG70" s="18"/>
    </row>
    <row r="71" spans="2:33" s="9" customFormat="1" x14ac:dyDescent="0.25">
      <c r="B71" s="10"/>
      <c r="D71" s="11"/>
      <c r="AG71" s="18"/>
    </row>
    <row r="72" spans="2:33" s="9" customFormat="1" x14ac:dyDescent="0.25">
      <c r="B72" s="10"/>
      <c r="D72" s="11"/>
      <c r="AG72" s="18"/>
    </row>
    <row r="73" spans="2:33" s="9" customFormat="1" x14ac:dyDescent="0.25">
      <c r="B73" s="10"/>
      <c r="D73" s="11"/>
      <c r="AG73" s="18"/>
    </row>
    <row r="74" spans="2:33" s="9" customFormat="1" x14ac:dyDescent="0.25">
      <c r="B74" s="10"/>
      <c r="D74" s="11"/>
      <c r="AG74" s="18"/>
    </row>
    <row r="75" spans="2:33" s="9" customFormat="1" x14ac:dyDescent="0.25">
      <c r="B75" s="10"/>
      <c r="D75" s="11"/>
      <c r="AG75" s="18"/>
    </row>
    <row r="76" spans="2:33" s="9" customFormat="1" x14ac:dyDescent="0.25">
      <c r="B76" s="10"/>
      <c r="D76" s="11"/>
      <c r="AG76" s="18"/>
    </row>
    <row r="77" spans="2:33" s="9" customFormat="1" x14ac:dyDescent="0.25">
      <c r="B77" s="10"/>
      <c r="D77" s="11"/>
      <c r="AG77" s="18"/>
    </row>
    <row r="78" spans="2:33" s="9" customFormat="1" x14ac:dyDescent="0.25">
      <c r="B78" s="10"/>
      <c r="D78" s="11"/>
      <c r="AG78" s="18"/>
    </row>
    <row r="79" spans="2:33" s="9" customFormat="1" x14ac:dyDescent="0.25">
      <c r="B79" s="10"/>
      <c r="D79" s="11"/>
      <c r="AG79" s="18"/>
    </row>
    <row r="80" spans="2:33" s="9" customFormat="1" x14ac:dyDescent="0.25">
      <c r="B80" s="10"/>
      <c r="D80" s="11"/>
      <c r="AG80" s="18"/>
    </row>
    <row r="81" spans="2:33" s="9" customFormat="1" x14ac:dyDescent="0.25">
      <c r="B81" s="10"/>
      <c r="D81" s="11"/>
      <c r="AG81" s="18"/>
    </row>
    <row r="82" spans="2:33" s="9" customFormat="1" x14ac:dyDescent="0.25">
      <c r="B82" s="10"/>
      <c r="D82" s="11"/>
      <c r="AG82" s="18"/>
    </row>
    <row r="83" spans="2:33" s="9" customFormat="1" x14ac:dyDescent="0.25">
      <c r="B83" s="10"/>
      <c r="D83" s="11"/>
      <c r="AG83" s="18"/>
    </row>
    <row r="84" spans="2:33" s="9" customFormat="1" x14ac:dyDescent="0.25">
      <c r="B84" s="10"/>
      <c r="D84" s="11"/>
      <c r="AG84" s="18"/>
    </row>
    <row r="85" spans="2:33" s="9" customFormat="1" x14ac:dyDescent="0.25">
      <c r="B85" s="10"/>
      <c r="D85" s="11"/>
      <c r="AG85" s="18"/>
    </row>
    <row r="86" spans="2:33" s="9" customFormat="1" x14ac:dyDescent="0.25">
      <c r="B86" s="10"/>
      <c r="D86" s="11"/>
      <c r="AG86" s="18"/>
    </row>
    <row r="87" spans="2:33" s="9" customFormat="1" x14ac:dyDescent="0.25">
      <c r="B87" s="10"/>
      <c r="D87" s="11"/>
      <c r="AG87" s="18"/>
    </row>
    <row r="88" spans="2:33" s="9" customFormat="1" x14ac:dyDescent="0.25">
      <c r="B88" s="10"/>
      <c r="D88" s="11"/>
      <c r="AG88" s="18"/>
    </row>
    <row r="89" spans="2:33" s="9" customFormat="1" x14ac:dyDescent="0.25">
      <c r="B89" s="10"/>
      <c r="D89" s="11"/>
      <c r="AG89" s="18"/>
    </row>
    <row r="90" spans="2:33" s="9" customFormat="1" x14ac:dyDescent="0.25">
      <c r="B90" s="10"/>
      <c r="D90" s="11"/>
      <c r="AG90" s="18"/>
    </row>
    <row r="91" spans="2:33" s="9" customFormat="1" x14ac:dyDescent="0.25">
      <c r="B91" s="10"/>
      <c r="D91" s="11"/>
      <c r="AG91" s="18"/>
    </row>
    <row r="92" spans="2:33" s="9" customFormat="1" x14ac:dyDescent="0.25">
      <c r="B92" s="10"/>
      <c r="D92" s="11"/>
      <c r="AG92" s="18"/>
    </row>
    <row r="93" spans="2:33" s="9" customFormat="1" x14ac:dyDescent="0.25">
      <c r="B93" s="10"/>
      <c r="D93" s="11"/>
      <c r="AG93" s="18"/>
    </row>
    <row r="94" spans="2:33" s="9" customFormat="1" x14ac:dyDescent="0.25">
      <c r="B94" s="10"/>
      <c r="D94" s="11"/>
      <c r="AG94" s="18"/>
    </row>
    <row r="95" spans="2:33" s="9" customFormat="1" x14ac:dyDescent="0.25">
      <c r="B95" s="10"/>
      <c r="D95" s="11"/>
      <c r="AG95" s="18"/>
    </row>
    <row r="96" spans="2:33" s="9" customFormat="1" x14ac:dyDescent="0.25">
      <c r="B96" s="10"/>
      <c r="D96" s="11"/>
      <c r="AG96" s="18"/>
    </row>
    <row r="97" spans="2:33" s="9" customFormat="1" x14ac:dyDescent="0.25">
      <c r="B97" s="10"/>
      <c r="D97" s="11"/>
      <c r="AG97" s="18"/>
    </row>
    <row r="98" spans="2:33" s="9" customFormat="1" x14ac:dyDescent="0.25">
      <c r="B98" s="10"/>
      <c r="D98" s="11"/>
      <c r="AG98" s="18"/>
    </row>
    <row r="99" spans="2:33" s="9" customFormat="1" x14ac:dyDescent="0.25">
      <c r="B99" s="10"/>
      <c r="D99" s="11"/>
      <c r="AG99" s="18"/>
    </row>
    <row r="100" spans="2:33" s="9" customFormat="1" x14ac:dyDescent="0.25">
      <c r="B100" s="10"/>
      <c r="D100" s="11"/>
      <c r="AG100" s="18"/>
    </row>
    <row r="101" spans="2:33" s="9" customFormat="1" x14ac:dyDescent="0.25">
      <c r="B101" s="10"/>
      <c r="D101" s="11"/>
      <c r="AG101" s="18"/>
    </row>
    <row r="102" spans="2:33" s="9" customFormat="1" x14ac:dyDescent="0.25">
      <c r="B102" s="10"/>
      <c r="D102" s="11"/>
      <c r="AG102" s="18"/>
    </row>
    <row r="103" spans="2:33" s="9" customFormat="1" x14ac:dyDescent="0.25">
      <c r="B103" s="10"/>
      <c r="D103" s="11"/>
      <c r="AG103" s="18"/>
    </row>
    <row r="104" spans="2:33" s="9" customFormat="1" x14ac:dyDescent="0.25">
      <c r="B104" s="10"/>
      <c r="D104" s="11"/>
      <c r="AG104" s="18"/>
    </row>
    <row r="105" spans="2:33" s="9" customFormat="1" x14ac:dyDescent="0.25">
      <c r="B105" s="10"/>
      <c r="D105" s="11"/>
      <c r="AG105" s="18"/>
    </row>
    <row r="106" spans="2:33" s="9" customFormat="1" x14ac:dyDescent="0.25">
      <c r="B106" s="10"/>
      <c r="D106" s="11"/>
      <c r="AG106" s="18"/>
    </row>
    <row r="107" spans="2:33" s="9" customFormat="1" x14ac:dyDescent="0.25">
      <c r="B107" s="10"/>
      <c r="D107" s="11"/>
      <c r="AG107" s="18"/>
    </row>
    <row r="108" spans="2:33" s="9" customFormat="1" x14ac:dyDescent="0.25">
      <c r="B108" s="10"/>
      <c r="D108" s="11"/>
      <c r="AG108" s="18"/>
    </row>
    <row r="109" spans="2:33" s="9" customFormat="1" x14ac:dyDescent="0.25">
      <c r="B109" s="10"/>
      <c r="D109" s="11"/>
      <c r="AG109" s="18"/>
    </row>
    <row r="110" spans="2:33" s="9" customFormat="1" x14ac:dyDescent="0.25">
      <c r="B110" s="10"/>
      <c r="D110" s="11"/>
      <c r="AG110" s="18"/>
    </row>
    <row r="111" spans="2:33" s="9" customFormat="1" x14ac:dyDescent="0.25">
      <c r="B111" s="10"/>
      <c r="D111" s="11"/>
      <c r="AG111" s="18"/>
    </row>
    <row r="112" spans="2:33" s="9" customFormat="1" x14ac:dyDescent="0.25">
      <c r="B112" s="10"/>
      <c r="D112" s="11"/>
      <c r="AG112" s="18"/>
    </row>
    <row r="113" spans="2:33" s="9" customFormat="1" x14ac:dyDescent="0.25">
      <c r="B113" s="10"/>
      <c r="D113" s="11"/>
      <c r="AG113" s="18"/>
    </row>
    <row r="114" spans="2:33" s="9" customFormat="1" x14ac:dyDescent="0.25">
      <c r="B114" s="10"/>
      <c r="D114" s="11"/>
      <c r="AG114" s="18"/>
    </row>
    <row r="115" spans="2:33" s="9" customFormat="1" x14ac:dyDescent="0.25">
      <c r="B115" s="10"/>
      <c r="D115" s="11"/>
      <c r="AG115" s="18"/>
    </row>
    <row r="116" spans="2:33" s="9" customFormat="1" x14ac:dyDescent="0.25">
      <c r="B116" s="10"/>
      <c r="D116" s="11"/>
      <c r="AG116" s="18"/>
    </row>
    <row r="117" spans="2:33" s="9" customFormat="1" x14ac:dyDescent="0.25">
      <c r="B117" s="10"/>
      <c r="D117" s="11"/>
      <c r="AG117" s="18"/>
    </row>
    <row r="118" spans="2:33" s="9" customFormat="1" x14ac:dyDescent="0.25">
      <c r="B118" s="10"/>
      <c r="D118" s="11"/>
      <c r="AG118" s="18"/>
    </row>
    <row r="119" spans="2:33" s="9" customFormat="1" x14ac:dyDescent="0.25">
      <c r="B119" s="10"/>
      <c r="D119" s="11"/>
      <c r="AG119" s="18"/>
    </row>
    <row r="120" spans="2:33" s="9" customFormat="1" x14ac:dyDescent="0.25">
      <c r="B120" s="10"/>
      <c r="D120" s="11"/>
      <c r="AG120" s="18"/>
    </row>
    <row r="121" spans="2:33" s="9" customFormat="1" x14ac:dyDescent="0.25">
      <c r="B121" s="10"/>
      <c r="D121" s="11"/>
      <c r="AG121" s="18"/>
    </row>
    <row r="122" spans="2:33" s="9" customFormat="1" x14ac:dyDescent="0.25">
      <c r="B122" s="10"/>
      <c r="D122" s="11"/>
      <c r="AG122" s="18"/>
    </row>
    <row r="123" spans="2:33" s="9" customFormat="1" x14ac:dyDescent="0.25">
      <c r="B123" s="10"/>
      <c r="D123" s="11"/>
      <c r="AG123" s="18"/>
    </row>
    <row r="124" spans="2:33" s="9" customFormat="1" x14ac:dyDescent="0.25">
      <c r="B124" s="10"/>
      <c r="D124" s="11"/>
      <c r="AG124" s="18"/>
    </row>
    <row r="125" spans="2:33" s="9" customFormat="1" x14ac:dyDescent="0.25">
      <c r="B125" s="10"/>
      <c r="D125" s="11"/>
      <c r="AG125" s="18"/>
    </row>
    <row r="126" spans="2:33" s="9" customFormat="1" x14ac:dyDescent="0.25">
      <c r="B126" s="10"/>
      <c r="D126" s="11"/>
      <c r="AG126" s="18"/>
    </row>
    <row r="127" spans="2:33" s="9" customFormat="1" x14ac:dyDescent="0.25">
      <c r="B127" s="10"/>
      <c r="D127" s="11"/>
      <c r="AG127" s="18"/>
    </row>
    <row r="128" spans="2:33" s="9" customFormat="1" x14ac:dyDescent="0.25">
      <c r="B128" s="10"/>
      <c r="D128" s="11"/>
      <c r="AG128" s="18"/>
    </row>
    <row r="129" spans="2:33" s="9" customFormat="1" x14ac:dyDescent="0.25">
      <c r="B129" s="10"/>
      <c r="D129" s="11"/>
      <c r="AG129" s="18"/>
    </row>
    <row r="130" spans="2:33" s="9" customFormat="1" x14ac:dyDescent="0.25">
      <c r="B130" s="10"/>
      <c r="D130" s="11"/>
      <c r="AG130" s="18"/>
    </row>
    <row r="131" spans="2:33" s="9" customFormat="1" x14ac:dyDescent="0.25">
      <c r="B131" s="10"/>
      <c r="D131" s="11"/>
      <c r="AG131" s="18"/>
    </row>
    <row r="132" spans="2:33" s="9" customFormat="1" x14ac:dyDescent="0.25">
      <c r="B132" s="10"/>
      <c r="D132" s="11"/>
      <c r="AG132" s="18"/>
    </row>
    <row r="133" spans="2:33" s="9" customFormat="1" x14ac:dyDescent="0.25">
      <c r="B133" s="10"/>
      <c r="D133" s="11"/>
      <c r="AG133" s="18"/>
    </row>
    <row r="134" spans="2:33" s="9" customFormat="1" x14ac:dyDescent="0.25">
      <c r="B134" s="10"/>
      <c r="D134" s="11"/>
      <c r="AG134" s="18"/>
    </row>
    <row r="135" spans="2:33" s="9" customFormat="1" x14ac:dyDescent="0.25">
      <c r="B135" s="10"/>
      <c r="D135" s="11"/>
      <c r="AG135" s="18"/>
    </row>
    <row r="136" spans="2:33" s="9" customFormat="1" x14ac:dyDescent="0.25">
      <c r="B136" s="10"/>
      <c r="D136" s="11"/>
      <c r="AG136" s="18"/>
    </row>
    <row r="137" spans="2:33" s="9" customFormat="1" x14ac:dyDescent="0.25">
      <c r="B137" s="10"/>
      <c r="D137" s="11"/>
      <c r="AG137" s="18"/>
    </row>
    <row r="138" spans="2:33" s="9" customFormat="1" x14ac:dyDescent="0.25">
      <c r="B138" s="10"/>
      <c r="D138" s="11"/>
      <c r="AG138" s="18"/>
    </row>
    <row r="139" spans="2:33" s="9" customFormat="1" x14ac:dyDescent="0.25">
      <c r="B139" s="10"/>
      <c r="D139" s="11"/>
      <c r="AG139" s="18"/>
    </row>
    <row r="140" spans="2:33" s="9" customFormat="1" x14ac:dyDescent="0.25">
      <c r="B140" s="10"/>
      <c r="D140" s="11"/>
      <c r="AG140" s="18"/>
    </row>
    <row r="141" spans="2:33" s="9" customFormat="1" x14ac:dyDescent="0.25">
      <c r="B141" s="10"/>
      <c r="D141" s="11"/>
      <c r="AG141" s="18"/>
    </row>
    <row r="142" spans="2:33" s="9" customFormat="1" x14ac:dyDescent="0.25">
      <c r="B142" s="10"/>
      <c r="D142" s="11"/>
      <c r="AG142" s="18"/>
    </row>
    <row r="143" spans="2:33" s="9" customFormat="1" x14ac:dyDescent="0.25">
      <c r="B143" s="10"/>
      <c r="D143" s="11"/>
      <c r="AG143" s="18"/>
    </row>
    <row r="144" spans="2:33" s="9" customFormat="1" x14ac:dyDescent="0.25">
      <c r="B144" s="10"/>
      <c r="D144" s="11"/>
      <c r="AG144" s="18"/>
    </row>
    <row r="145" spans="2:33" s="9" customFormat="1" x14ac:dyDescent="0.25">
      <c r="B145" s="10"/>
      <c r="D145" s="11"/>
      <c r="AG145" s="18"/>
    </row>
    <row r="146" spans="2:33" s="9" customFormat="1" x14ac:dyDescent="0.25">
      <c r="B146" s="10"/>
      <c r="D146" s="11"/>
      <c r="AG146" s="18"/>
    </row>
    <row r="147" spans="2:33" s="9" customFormat="1" x14ac:dyDescent="0.25">
      <c r="B147" s="10"/>
      <c r="D147" s="11"/>
      <c r="AG147" s="18"/>
    </row>
    <row r="148" spans="2:33" s="9" customFormat="1" x14ac:dyDescent="0.25">
      <c r="B148" s="10"/>
      <c r="D148" s="11"/>
      <c r="AG148" s="18"/>
    </row>
    <row r="149" spans="2:33" s="9" customFormat="1" x14ac:dyDescent="0.25">
      <c r="B149" s="10"/>
      <c r="D149" s="11"/>
      <c r="AG149" s="18"/>
    </row>
    <row r="150" spans="2:33" s="9" customFormat="1" x14ac:dyDescent="0.25">
      <c r="B150" s="10"/>
      <c r="D150" s="11"/>
      <c r="AG150" s="18"/>
    </row>
    <row r="151" spans="2:33" s="9" customFormat="1" x14ac:dyDescent="0.25">
      <c r="B151" s="10"/>
      <c r="D151" s="11"/>
      <c r="AG151" s="18"/>
    </row>
    <row r="152" spans="2:33" s="9" customFormat="1" x14ac:dyDescent="0.25">
      <c r="B152" s="10"/>
      <c r="D152" s="11"/>
      <c r="AG152" s="18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I2:AJ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DE8C-9E7D-4F87-95C0-0A992D174B61}">
  <sheetPr>
    <tabColor theme="5"/>
  </sheetPr>
  <dimension ref="A1:BI152"/>
  <sheetViews>
    <sheetView zoomScale="115" zoomScaleNormal="115" workbookViewId="0">
      <selection activeCell="AI39" sqref="AI39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6.5703125" style="9" customWidth="1"/>
    <col min="15" max="15" width="21.85546875" style="9" customWidth="1"/>
    <col min="16" max="16" width="7.42578125" style="9" customWidth="1"/>
    <col min="17" max="18" width="11.42578125" style="9" customWidth="1"/>
    <col min="19" max="19" width="4" style="9" customWidth="1"/>
    <col min="20" max="20" width="6.5703125" style="9" customWidth="1"/>
    <col min="21" max="21" width="21.85546875" style="9" customWidth="1"/>
    <col min="22" max="22" width="7.42578125" style="9" customWidth="1"/>
    <col min="23" max="24" width="11.42578125" style="9" customWidth="1"/>
    <col min="25" max="25" width="4.5703125" style="9" customWidth="1"/>
    <col min="26" max="26" width="11.42578125" style="9" hidden="1" customWidth="1"/>
    <col min="27" max="27" width="21.85546875" style="9" hidden="1" customWidth="1"/>
    <col min="28" max="31" width="11.42578125" style="9" hidden="1" customWidth="1"/>
    <col min="32" max="32" width="3.42578125" style="9" customWidth="1"/>
    <col min="33" max="33" width="0.85546875" style="18" customWidth="1"/>
    <col min="34" max="34" width="7" style="9" customWidth="1"/>
    <col min="35" max="35" width="24" style="9" customWidth="1"/>
    <col min="36" max="61" width="11.42578125" style="9"/>
  </cols>
  <sheetData>
    <row r="1" spans="1:61" s="9" customFormat="1" x14ac:dyDescent="0.25">
      <c r="B1" s="10"/>
      <c r="D1" s="11"/>
      <c r="AG1" s="18"/>
    </row>
    <row r="2" spans="1:61" s="9" customFormat="1" ht="28.5" customHeight="1" thickBot="1" x14ac:dyDescent="0.3">
      <c r="B2" s="10"/>
      <c r="D2" s="11"/>
      <c r="AG2" s="18"/>
      <c r="AI2" s="86" t="s">
        <v>53</v>
      </c>
      <c r="AJ2" s="86"/>
      <c r="AK2" s="26"/>
      <c r="AL2" s="26"/>
      <c r="AM2" s="26"/>
    </row>
    <row r="3" spans="1:61" ht="22.5" customHeight="1" thickBot="1" x14ac:dyDescent="0.3">
      <c r="C3" s="87" t="s">
        <v>232</v>
      </c>
      <c r="D3" s="88"/>
      <c r="E3" s="88"/>
      <c r="F3" s="89"/>
      <c r="H3" s="8"/>
      <c r="I3" s="87" t="s">
        <v>233</v>
      </c>
      <c r="J3" s="88"/>
      <c r="K3" s="88"/>
      <c r="L3" s="89"/>
      <c r="N3" s="8"/>
      <c r="O3" s="87" t="s">
        <v>234</v>
      </c>
      <c r="P3" s="88"/>
      <c r="Q3" s="88"/>
      <c r="R3" s="89"/>
      <c r="T3" s="8"/>
      <c r="U3" s="87" t="s">
        <v>261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F3" s="20"/>
      <c r="AI3" s="24"/>
      <c r="AJ3" s="24"/>
      <c r="AK3" s="24"/>
      <c r="AL3" s="24"/>
      <c r="AM3" s="24"/>
    </row>
    <row r="4" spans="1:61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0</v>
      </c>
      <c r="E4" s="94"/>
      <c r="F4" s="95"/>
      <c r="G4" s="29"/>
      <c r="H4" s="91" t="s">
        <v>9</v>
      </c>
      <c r="I4" s="27" t="s">
        <v>1</v>
      </c>
      <c r="J4" s="12">
        <f>J6+J7+J8+J9+J10+J11</f>
        <v>42</v>
      </c>
      <c r="K4" s="94"/>
      <c r="L4" s="95"/>
      <c r="M4" s="29"/>
      <c r="N4" s="91" t="s">
        <v>9</v>
      </c>
      <c r="O4" s="27" t="s">
        <v>1</v>
      </c>
      <c r="P4" s="12">
        <f>P6+P7+P8+P9+P10+P11</f>
        <v>0</v>
      </c>
      <c r="Q4" s="94"/>
      <c r="R4" s="95"/>
      <c r="S4" s="29"/>
      <c r="T4" s="91" t="s">
        <v>9</v>
      </c>
      <c r="U4" s="27" t="s">
        <v>1</v>
      </c>
      <c r="V4" s="12">
        <f>V6+V7+V8+V9+V10+V11</f>
        <v>91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0"/>
      <c r="AG4" s="31"/>
      <c r="AH4" s="29"/>
      <c r="AI4" s="28" t="s">
        <v>1</v>
      </c>
      <c r="AJ4" s="25">
        <f>J4+P4+V4</f>
        <v>133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5.75" customHeight="1" x14ac:dyDescent="0.25">
      <c r="B5" s="92"/>
      <c r="C5" s="6" t="s">
        <v>0</v>
      </c>
      <c r="D5" s="16">
        <v>0</v>
      </c>
      <c r="E5" s="96"/>
      <c r="F5" s="97"/>
      <c r="H5" s="92"/>
      <c r="I5" s="6" t="s">
        <v>0</v>
      </c>
      <c r="J5" s="16">
        <v>8</v>
      </c>
      <c r="K5" s="96"/>
      <c r="L5" s="97"/>
      <c r="N5" s="92"/>
      <c r="O5" s="6" t="s">
        <v>0</v>
      </c>
      <c r="P5" s="16">
        <v>0</v>
      </c>
      <c r="Q5" s="96"/>
      <c r="R5" s="97"/>
      <c r="T5" s="92"/>
      <c r="U5" s="6" t="s">
        <v>0</v>
      </c>
      <c r="V5" s="16">
        <v>37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F5" s="17"/>
      <c r="AI5" s="6" t="s">
        <v>0</v>
      </c>
      <c r="AJ5" s="16">
        <f>J5+P5+V5</f>
        <v>45</v>
      </c>
    </row>
    <row r="6" spans="1:61" ht="15.75" customHeight="1" x14ac:dyDescent="0.25">
      <c r="B6" s="92"/>
      <c r="C6" s="2" t="s">
        <v>2</v>
      </c>
      <c r="D6" s="4">
        <v>0</v>
      </c>
      <c r="E6" s="96"/>
      <c r="F6" s="97"/>
      <c r="H6" s="92"/>
      <c r="I6" s="2" t="s">
        <v>2</v>
      </c>
      <c r="J6" s="4">
        <v>16</v>
      </c>
      <c r="K6" s="96"/>
      <c r="L6" s="97"/>
      <c r="N6" s="92"/>
      <c r="O6" s="2" t="s">
        <v>2</v>
      </c>
      <c r="P6" s="4">
        <v>0</v>
      </c>
      <c r="Q6" s="96"/>
      <c r="R6" s="97"/>
      <c r="T6" s="92"/>
      <c r="U6" s="2" t="s">
        <v>2</v>
      </c>
      <c r="V6" s="4">
        <v>24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F6" s="17"/>
      <c r="AI6" s="2" t="s">
        <v>2</v>
      </c>
      <c r="AJ6" s="4">
        <f t="shared" ref="AJ6:AJ15" si="0">+J6+P6+V6</f>
        <v>40</v>
      </c>
    </row>
    <row r="7" spans="1:61" x14ac:dyDescent="0.25">
      <c r="B7" s="92"/>
      <c r="C7" s="2" t="s">
        <v>3</v>
      </c>
      <c r="D7" s="4">
        <v>0</v>
      </c>
      <c r="E7" s="96"/>
      <c r="F7" s="97"/>
      <c r="H7" s="92"/>
      <c r="I7" s="2" t="s">
        <v>3</v>
      </c>
      <c r="J7" s="4">
        <v>12</v>
      </c>
      <c r="K7" s="96"/>
      <c r="L7" s="97"/>
      <c r="N7" s="92"/>
      <c r="O7" s="2" t="s">
        <v>3</v>
      </c>
      <c r="P7" s="4">
        <v>0</v>
      </c>
      <c r="Q7" s="96"/>
      <c r="R7" s="97"/>
      <c r="T7" s="92"/>
      <c r="U7" s="2" t="s">
        <v>3</v>
      </c>
      <c r="V7" s="4">
        <v>24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F7" s="17"/>
      <c r="AI7" s="2" t="s">
        <v>3</v>
      </c>
      <c r="AJ7" s="4">
        <f t="shared" si="0"/>
        <v>36</v>
      </c>
    </row>
    <row r="8" spans="1:61" x14ac:dyDescent="0.25">
      <c r="B8" s="92"/>
      <c r="C8" s="2" t="s">
        <v>4</v>
      </c>
      <c r="D8" s="4">
        <v>0</v>
      </c>
      <c r="E8" s="96"/>
      <c r="F8" s="97"/>
      <c r="H8" s="92"/>
      <c r="I8" s="2" t="s">
        <v>4</v>
      </c>
      <c r="J8" s="4">
        <v>7</v>
      </c>
      <c r="K8" s="96"/>
      <c r="L8" s="97"/>
      <c r="N8" s="92"/>
      <c r="O8" s="2" t="s">
        <v>4</v>
      </c>
      <c r="P8" s="4">
        <v>0</v>
      </c>
      <c r="Q8" s="96"/>
      <c r="R8" s="97"/>
      <c r="T8" s="92"/>
      <c r="U8" s="2" t="s">
        <v>4</v>
      </c>
      <c r="V8" s="4">
        <v>19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F8" s="17"/>
      <c r="AI8" s="2" t="s">
        <v>4</v>
      </c>
      <c r="AJ8" s="4">
        <f t="shared" si="0"/>
        <v>26</v>
      </c>
    </row>
    <row r="9" spans="1:61" x14ac:dyDescent="0.25">
      <c r="B9" s="92"/>
      <c r="C9" s="2" t="s">
        <v>5</v>
      </c>
      <c r="D9" s="4">
        <v>0</v>
      </c>
      <c r="E9" s="96"/>
      <c r="F9" s="97"/>
      <c r="H9" s="92"/>
      <c r="I9" s="2" t="s">
        <v>5</v>
      </c>
      <c r="J9" s="4">
        <v>6</v>
      </c>
      <c r="K9" s="96"/>
      <c r="L9" s="97"/>
      <c r="N9" s="92"/>
      <c r="O9" s="2" t="s">
        <v>5</v>
      </c>
      <c r="P9" s="4">
        <v>0</v>
      </c>
      <c r="Q9" s="96"/>
      <c r="R9" s="97"/>
      <c r="T9" s="92"/>
      <c r="U9" s="2" t="s">
        <v>5</v>
      </c>
      <c r="V9" s="4">
        <v>19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F9" s="17"/>
      <c r="AI9" s="2" t="s">
        <v>5</v>
      </c>
      <c r="AJ9" s="4">
        <f t="shared" si="0"/>
        <v>25</v>
      </c>
    </row>
    <row r="10" spans="1:61" ht="15.75" thickBot="1" x14ac:dyDescent="0.3">
      <c r="B10" s="92"/>
      <c r="C10" s="7" t="s">
        <v>6</v>
      </c>
      <c r="D10" s="15">
        <v>0</v>
      </c>
      <c r="E10" s="96"/>
      <c r="F10" s="97"/>
      <c r="H10" s="92"/>
      <c r="I10" s="7" t="s">
        <v>6</v>
      </c>
      <c r="J10" s="15">
        <v>0</v>
      </c>
      <c r="K10" s="96"/>
      <c r="L10" s="97"/>
      <c r="N10" s="92"/>
      <c r="O10" s="7" t="s">
        <v>6</v>
      </c>
      <c r="P10" s="15">
        <v>0</v>
      </c>
      <c r="Q10" s="96"/>
      <c r="R10" s="97"/>
      <c r="T10" s="92"/>
      <c r="U10" s="7" t="s">
        <v>6</v>
      </c>
      <c r="V10" s="15">
        <v>3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F10" s="17"/>
      <c r="AI10" s="7" t="s">
        <v>6</v>
      </c>
      <c r="AJ10" s="15">
        <f t="shared" si="0"/>
        <v>3</v>
      </c>
    </row>
    <row r="11" spans="1:61" ht="15.75" thickBot="1" x14ac:dyDescent="0.3">
      <c r="B11" s="92"/>
      <c r="C11" s="2" t="s">
        <v>7</v>
      </c>
      <c r="D11" s="4">
        <v>0</v>
      </c>
      <c r="E11" s="98" t="s">
        <v>33</v>
      </c>
      <c r="F11" s="99"/>
      <c r="H11" s="92"/>
      <c r="I11" s="2" t="s">
        <v>7</v>
      </c>
      <c r="J11" s="4">
        <v>1</v>
      </c>
      <c r="K11" s="98" t="s">
        <v>33</v>
      </c>
      <c r="L11" s="99"/>
      <c r="N11" s="92"/>
      <c r="O11" s="2" t="s">
        <v>7</v>
      </c>
      <c r="P11" s="4">
        <v>0</v>
      </c>
      <c r="Q11" s="98" t="s">
        <v>33</v>
      </c>
      <c r="R11" s="99"/>
      <c r="T11" s="92"/>
      <c r="U11" s="2" t="s">
        <v>7</v>
      </c>
      <c r="V11" s="4">
        <v>2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F11" s="19"/>
      <c r="AI11" s="2" t="s">
        <v>7</v>
      </c>
      <c r="AJ11" s="4">
        <f t="shared" si="0"/>
        <v>3</v>
      </c>
    </row>
    <row r="12" spans="1:61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F12" s="17"/>
      <c r="AI12" s="2" t="s">
        <v>49</v>
      </c>
      <c r="AJ12" s="4">
        <f t="shared" si="0"/>
        <v>0</v>
      </c>
    </row>
    <row r="13" spans="1:61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F13" s="17"/>
      <c r="AI13" s="2" t="s">
        <v>50</v>
      </c>
      <c r="AJ13" s="4">
        <f t="shared" si="0"/>
        <v>0</v>
      </c>
    </row>
    <row r="14" spans="1:61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F14" s="17"/>
      <c r="AI14" s="2" t="s">
        <v>51</v>
      </c>
      <c r="AJ14" s="4">
        <f t="shared" si="0"/>
        <v>0</v>
      </c>
    </row>
    <row r="15" spans="1:61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F15" s="19"/>
      <c r="AI15" s="3" t="s">
        <v>52</v>
      </c>
      <c r="AJ15" s="5">
        <f t="shared" si="0"/>
        <v>0</v>
      </c>
    </row>
    <row r="16" spans="1:61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G16" s="18"/>
    </row>
    <row r="17" spans="2:36" x14ac:dyDescent="0.25">
      <c r="B17" s="104" t="s">
        <v>28</v>
      </c>
      <c r="C17" s="6" t="s">
        <v>10</v>
      </c>
      <c r="D17" s="107" t="s">
        <v>34</v>
      </c>
      <c r="E17" s="108"/>
      <c r="F17" s="9"/>
      <c r="H17" s="104" t="s">
        <v>28</v>
      </c>
      <c r="I17" s="6" t="s">
        <v>10</v>
      </c>
      <c r="J17" s="107" t="s">
        <v>34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73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6" ht="15.75" thickBot="1" x14ac:dyDescent="0.3">
      <c r="B18" s="105"/>
      <c r="C18" s="2" t="s">
        <v>11</v>
      </c>
      <c r="D18" s="100" t="s">
        <v>35</v>
      </c>
      <c r="E18" s="101"/>
      <c r="F18" s="9"/>
      <c r="H18" s="105"/>
      <c r="I18" s="2" t="s">
        <v>11</v>
      </c>
      <c r="J18" s="100" t="s">
        <v>35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101</v>
      </c>
      <c r="W18" s="101"/>
      <c r="Z18" s="105"/>
      <c r="AA18" s="2" t="s">
        <v>11</v>
      </c>
      <c r="AB18" s="100" t="s">
        <v>35</v>
      </c>
      <c r="AC18" s="101"/>
    </row>
    <row r="19" spans="2:36" ht="15.75" thickBot="1" x14ac:dyDescent="0.3">
      <c r="B19" s="105"/>
      <c r="C19" s="2" t="s">
        <v>12</v>
      </c>
      <c r="D19" s="100" t="s">
        <v>235</v>
      </c>
      <c r="E19" s="101"/>
      <c r="F19" s="9"/>
      <c r="H19" s="105"/>
      <c r="I19" s="2" t="s">
        <v>12</v>
      </c>
      <c r="J19" s="100" t="s">
        <v>236</v>
      </c>
      <c r="K19" s="101"/>
      <c r="N19" s="105"/>
      <c r="O19" s="2" t="s">
        <v>12</v>
      </c>
      <c r="P19" s="100" t="s">
        <v>236</v>
      </c>
      <c r="Q19" s="101"/>
      <c r="T19" s="105"/>
      <c r="U19" s="2" t="s">
        <v>12</v>
      </c>
      <c r="V19" s="100" t="s">
        <v>262</v>
      </c>
      <c r="W19" s="101"/>
      <c r="Z19" s="105"/>
      <c r="AA19" s="2" t="s">
        <v>12</v>
      </c>
      <c r="AB19" s="100" t="s">
        <v>36</v>
      </c>
      <c r="AC19" s="101"/>
      <c r="AI19" s="51" t="s">
        <v>54</v>
      </c>
      <c r="AJ19" s="52">
        <f>+AJ20+AJ21</f>
        <v>0</v>
      </c>
    </row>
    <row r="20" spans="2:36" ht="15.75" thickBot="1" x14ac:dyDescent="0.3">
      <c r="B20" s="106"/>
      <c r="C20" s="3" t="s">
        <v>13</v>
      </c>
      <c r="D20" s="102" t="s">
        <v>237</v>
      </c>
      <c r="E20" s="103"/>
      <c r="F20" s="9"/>
      <c r="H20" s="106"/>
      <c r="I20" s="3" t="s">
        <v>13</v>
      </c>
      <c r="J20" s="102" t="s">
        <v>36</v>
      </c>
      <c r="K20" s="103"/>
      <c r="N20" s="106"/>
      <c r="O20" s="3" t="s">
        <v>13</v>
      </c>
      <c r="P20" s="102" t="s">
        <v>238</v>
      </c>
      <c r="Q20" s="103"/>
      <c r="T20" s="106"/>
      <c r="U20" s="3" t="s">
        <v>13</v>
      </c>
      <c r="V20" s="102" t="s">
        <v>263</v>
      </c>
      <c r="W20" s="103"/>
      <c r="Z20" s="106"/>
      <c r="AA20" s="3" t="s">
        <v>13</v>
      </c>
      <c r="AB20" s="102" t="s">
        <v>36</v>
      </c>
      <c r="AC20" s="103"/>
      <c r="AI20" s="49" t="s">
        <v>55</v>
      </c>
      <c r="AJ20" s="50"/>
    </row>
    <row r="21" spans="2:36" ht="15.75" thickBot="1" x14ac:dyDescent="0.3">
      <c r="B21" s="109" t="s">
        <v>29</v>
      </c>
      <c r="C21" s="6" t="s">
        <v>14</v>
      </c>
      <c r="D21" s="107" t="s">
        <v>239</v>
      </c>
      <c r="E21" s="108"/>
      <c r="F21" s="9"/>
      <c r="H21" s="109" t="s">
        <v>29</v>
      </c>
      <c r="I21" s="6" t="s">
        <v>14</v>
      </c>
      <c r="J21" s="107" t="s">
        <v>240</v>
      </c>
      <c r="K21" s="108"/>
      <c r="N21" s="109" t="s">
        <v>29</v>
      </c>
      <c r="O21" s="6" t="s">
        <v>14</v>
      </c>
      <c r="P21" s="107" t="s">
        <v>241</v>
      </c>
      <c r="Q21" s="108"/>
      <c r="T21" s="109" t="s">
        <v>29</v>
      </c>
      <c r="U21" s="6" t="s">
        <v>14</v>
      </c>
      <c r="V21" s="107" t="s">
        <v>264</v>
      </c>
      <c r="W21" s="108"/>
      <c r="Z21" s="109" t="s">
        <v>29</v>
      </c>
      <c r="AA21" s="6" t="s">
        <v>14</v>
      </c>
      <c r="AB21" s="107" t="s">
        <v>37</v>
      </c>
      <c r="AC21" s="108"/>
      <c r="AI21" s="47" t="s">
        <v>56</v>
      </c>
      <c r="AJ21" s="48"/>
    </row>
    <row r="22" spans="2:36" x14ac:dyDescent="0.25">
      <c r="B22" s="110"/>
      <c r="C22" s="2" t="s">
        <v>15</v>
      </c>
      <c r="D22" s="100">
        <v>14287553</v>
      </c>
      <c r="E22" s="101"/>
      <c r="F22" s="9"/>
      <c r="H22" s="110"/>
      <c r="I22" s="2" t="s">
        <v>15</v>
      </c>
      <c r="J22" s="100">
        <v>15795265</v>
      </c>
      <c r="K22" s="101"/>
      <c r="N22" s="110"/>
      <c r="O22" s="2" t="s">
        <v>15</v>
      </c>
      <c r="P22" s="137">
        <v>16432329</v>
      </c>
      <c r="Q22" s="101"/>
      <c r="T22" s="110"/>
      <c r="U22" s="2" t="s">
        <v>15</v>
      </c>
      <c r="V22" s="137">
        <v>20288753</v>
      </c>
      <c r="W22" s="101"/>
      <c r="Z22" s="110"/>
      <c r="AA22" s="2" t="s">
        <v>15</v>
      </c>
      <c r="AB22" s="100" t="s">
        <v>38</v>
      </c>
      <c r="AC22" s="101"/>
    </row>
    <row r="23" spans="2:36" x14ac:dyDescent="0.25">
      <c r="B23" s="110"/>
      <c r="C23" s="2" t="s">
        <v>16</v>
      </c>
      <c r="D23" s="100" t="s">
        <v>242</v>
      </c>
      <c r="E23" s="101"/>
      <c r="F23" s="9"/>
      <c r="H23" s="110"/>
      <c r="I23" s="2" t="s">
        <v>16</v>
      </c>
      <c r="J23" s="100" t="s">
        <v>243</v>
      </c>
      <c r="K23" s="101"/>
      <c r="N23" s="110"/>
      <c r="O23" s="2" t="s">
        <v>16</v>
      </c>
      <c r="P23" s="100"/>
      <c r="Q23" s="101"/>
      <c r="T23" s="110"/>
      <c r="U23" s="2" t="s">
        <v>16</v>
      </c>
      <c r="V23" s="100" t="s">
        <v>265</v>
      </c>
      <c r="W23" s="101"/>
      <c r="Z23" s="110"/>
      <c r="AA23" s="2" t="s">
        <v>16</v>
      </c>
      <c r="AB23" s="100" t="s">
        <v>39</v>
      </c>
      <c r="AC23" s="101"/>
    </row>
    <row r="24" spans="2:36" ht="15.75" thickBot="1" x14ac:dyDescent="0.3">
      <c r="B24" s="111"/>
      <c r="C24" s="3" t="s">
        <v>17</v>
      </c>
      <c r="D24" s="102" t="s">
        <v>244</v>
      </c>
      <c r="E24" s="103"/>
      <c r="F24" s="9"/>
      <c r="H24" s="111"/>
      <c r="I24" s="3" t="s">
        <v>17</v>
      </c>
      <c r="J24" s="102" t="s">
        <v>245</v>
      </c>
      <c r="K24" s="103"/>
      <c r="N24" s="111"/>
      <c r="O24" s="3" t="s">
        <v>17</v>
      </c>
      <c r="P24" s="102" t="s">
        <v>246</v>
      </c>
      <c r="Q24" s="103"/>
      <c r="T24" s="111"/>
      <c r="U24" s="3" t="s">
        <v>17</v>
      </c>
      <c r="V24" s="102" t="s">
        <v>266</v>
      </c>
      <c r="W24" s="103"/>
      <c r="Z24" s="111"/>
      <c r="AA24" s="3" t="s">
        <v>17</v>
      </c>
      <c r="AB24" s="102" t="s">
        <v>40</v>
      </c>
      <c r="AC24" s="103"/>
    </row>
    <row r="25" spans="2:36" x14ac:dyDescent="0.25">
      <c r="B25" s="109" t="s">
        <v>30</v>
      </c>
      <c r="C25" s="6" t="s">
        <v>18</v>
      </c>
      <c r="D25" s="107" t="s">
        <v>247</v>
      </c>
      <c r="E25" s="108"/>
      <c r="F25" s="9"/>
      <c r="H25" s="109" t="s">
        <v>30</v>
      </c>
      <c r="I25" s="6" t="s">
        <v>18</v>
      </c>
      <c r="J25" s="107" t="s">
        <v>248</v>
      </c>
      <c r="K25" s="108"/>
      <c r="N25" s="109" t="s">
        <v>30</v>
      </c>
      <c r="O25" s="6" t="s">
        <v>18</v>
      </c>
      <c r="P25" s="107"/>
      <c r="Q25" s="108"/>
      <c r="T25" s="109" t="s">
        <v>30</v>
      </c>
      <c r="U25" s="6" t="s">
        <v>18</v>
      </c>
      <c r="V25" s="107" t="s">
        <v>267</v>
      </c>
      <c r="W25" s="108"/>
      <c r="Z25" s="109" t="s">
        <v>30</v>
      </c>
      <c r="AA25" s="6" t="s">
        <v>18</v>
      </c>
      <c r="AB25" s="107" t="s">
        <v>41</v>
      </c>
      <c r="AC25" s="108"/>
    </row>
    <row r="26" spans="2:36" x14ac:dyDescent="0.25">
      <c r="B26" s="110"/>
      <c r="C26" s="2" t="s">
        <v>15</v>
      </c>
      <c r="D26" s="137">
        <v>13283833</v>
      </c>
      <c r="E26" s="101"/>
      <c r="F26" s="9"/>
      <c r="H26" s="110"/>
      <c r="I26" s="2" t="s">
        <v>15</v>
      </c>
      <c r="J26" s="100">
        <v>13823585</v>
      </c>
      <c r="K26" s="101"/>
      <c r="N26" s="110"/>
      <c r="O26" s="2" t="s">
        <v>15</v>
      </c>
      <c r="P26" s="100"/>
      <c r="Q26" s="101"/>
      <c r="T26" s="110"/>
      <c r="U26" s="2" t="s">
        <v>15</v>
      </c>
      <c r="V26" s="137">
        <v>12297171</v>
      </c>
      <c r="W26" s="101"/>
      <c r="Z26" s="110"/>
      <c r="AA26" s="2" t="s">
        <v>15</v>
      </c>
      <c r="AB26" s="100" t="s">
        <v>38</v>
      </c>
      <c r="AC26" s="101"/>
    </row>
    <row r="27" spans="2:36" x14ac:dyDescent="0.25">
      <c r="B27" s="110"/>
      <c r="C27" s="2" t="s">
        <v>16</v>
      </c>
      <c r="D27" s="100" t="s">
        <v>249</v>
      </c>
      <c r="E27" s="101"/>
      <c r="F27" s="9"/>
      <c r="H27" s="110"/>
      <c r="I27" s="2" t="s">
        <v>16</v>
      </c>
      <c r="J27" s="100" t="s">
        <v>250</v>
      </c>
      <c r="K27" s="101"/>
      <c r="N27" s="110"/>
      <c r="O27" s="2" t="s">
        <v>16</v>
      </c>
      <c r="P27" s="100"/>
      <c r="Q27" s="101"/>
      <c r="T27" s="110"/>
      <c r="U27" s="2" t="s">
        <v>16</v>
      </c>
      <c r="V27" s="100" t="s">
        <v>268</v>
      </c>
      <c r="W27" s="101"/>
      <c r="Z27" s="110"/>
      <c r="AA27" s="2" t="s">
        <v>16</v>
      </c>
      <c r="AB27" s="100" t="s">
        <v>39</v>
      </c>
      <c r="AC27" s="101"/>
    </row>
    <row r="28" spans="2:36" x14ac:dyDescent="0.25">
      <c r="B28" s="110"/>
      <c r="C28" s="2" t="s">
        <v>19</v>
      </c>
      <c r="D28" s="100" t="s">
        <v>251</v>
      </c>
      <c r="E28" s="101"/>
      <c r="F28" s="9"/>
      <c r="H28" s="110"/>
      <c r="I28" s="2" t="s">
        <v>19</v>
      </c>
      <c r="J28" s="100" t="s">
        <v>252</v>
      </c>
      <c r="K28" s="101"/>
      <c r="N28" s="110"/>
      <c r="O28" s="2" t="s">
        <v>19</v>
      </c>
      <c r="P28" s="100"/>
      <c r="Q28" s="101"/>
      <c r="T28" s="110"/>
      <c r="U28" s="2" t="s">
        <v>19</v>
      </c>
      <c r="V28" s="100" t="s">
        <v>269</v>
      </c>
      <c r="W28" s="101"/>
      <c r="Z28" s="110"/>
      <c r="AA28" s="2" t="s">
        <v>19</v>
      </c>
      <c r="AB28" s="100" t="s">
        <v>42</v>
      </c>
      <c r="AC28" s="101"/>
    </row>
    <row r="29" spans="2:36" x14ac:dyDescent="0.25">
      <c r="B29" s="110"/>
      <c r="C29" s="2" t="s">
        <v>20</v>
      </c>
      <c r="D29" s="100">
        <v>10</v>
      </c>
      <c r="E29" s="101"/>
      <c r="F29" s="9"/>
      <c r="H29" s="110"/>
      <c r="I29" s="2" t="s">
        <v>20</v>
      </c>
      <c r="J29" s="100">
        <v>30</v>
      </c>
      <c r="K29" s="101"/>
      <c r="N29" s="110"/>
      <c r="O29" s="2" t="s">
        <v>20</v>
      </c>
      <c r="P29" s="100"/>
      <c r="Q29" s="101"/>
      <c r="T29" s="110"/>
      <c r="U29" s="2" t="s">
        <v>20</v>
      </c>
      <c r="V29" s="100">
        <v>23</v>
      </c>
      <c r="W29" s="101"/>
      <c r="Z29" s="110"/>
      <c r="AA29" s="2" t="s">
        <v>20</v>
      </c>
      <c r="AB29" s="100" t="s">
        <v>8</v>
      </c>
      <c r="AC29" s="101"/>
    </row>
    <row r="30" spans="2:36" ht="15.75" thickBot="1" x14ac:dyDescent="0.3">
      <c r="B30" s="111"/>
      <c r="C30" s="3" t="s">
        <v>21</v>
      </c>
      <c r="D30" s="102">
        <v>5</v>
      </c>
      <c r="E30" s="103"/>
      <c r="F30" s="9"/>
      <c r="H30" s="111"/>
      <c r="I30" s="3" t="s">
        <v>21</v>
      </c>
      <c r="J30" s="102">
        <v>0</v>
      </c>
      <c r="K30" s="103"/>
      <c r="N30" s="111"/>
      <c r="O30" s="3" t="s">
        <v>21</v>
      </c>
      <c r="P30" s="102"/>
      <c r="Q30" s="103"/>
      <c r="T30" s="111"/>
      <c r="U30" s="3" t="s">
        <v>21</v>
      </c>
      <c r="V30" s="102">
        <v>1</v>
      </c>
      <c r="W30" s="103"/>
      <c r="Z30" s="111"/>
      <c r="AA30" s="3" t="s">
        <v>21</v>
      </c>
      <c r="AB30" s="102" t="s">
        <v>8</v>
      </c>
      <c r="AC30" s="103"/>
    </row>
    <row r="31" spans="2:36" x14ac:dyDescent="0.25">
      <c r="B31" s="104" t="s">
        <v>32</v>
      </c>
      <c r="C31" s="6" t="s">
        <v>23</v>
      </c>
      <c r="D31" s="107" t="s">
        <v>88</v>
      </c>
      <c r="E31" s="108"/>
      <c r="F31" s="9"/>
      <c r="H31" s="104" t="s">
        <v>32</v>
      </c>
      <c r="I31" s="6" t="s">
        <v>23</v>
      </c>
      <c r="J31" s="107" t="s">
        <v>88</v>
      </c>
      <c r="K31" s="108"/>
      <c r="N31" s="104" t="s">
        <v>32</v>
      </c>
      <c r="O31" s="6" t="s">
        <v>23</v>
      </c>
      <c r="P31" s="107" t="s">
        <v>22</v>
      </c>
      <c r="Q31" s="108"/>
      <c r="T31" s="104" t="s">
        <v>32</v>
      </c>
      <c r="U31" s="6" t="s">
        <v>23</v>
      </c>
      <c r="V31" s="107" t="s">
        <v>87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6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88</v>
      </c>
      <c r="K32" s="113"/>
      <c r="N32" s="105"/>
      <c r="O32" s="2" t="s">
        <v>24</v>
      </c>
      <c r="P32" s="112" t="s">
        <v>22</v>
      </c>
      <c r="Q32" s="113"/>
      <c r="T32" s="105"/>
      <c r="U32" s="2" t="s">
        <v>24</v>
      </c>
      <c r="V32" s="112" t="s">
        <v>88</v>
      </c>
      <c r="W32" s="113"/>
      <c r="Z32" s="105"/>
      <c r="AA32" s="2" t="s">
        <v>24</v>
      </c>
      <c r="AB32" s="112" t="s">
        <v>22</v>
      </c>
      <c r="AC32" s="113"/>
    </row>
    <row r="33" spans="2:33" x14ac:dyDescent="0.25">
      <c r="B33" s="105"/>
      <c r="C33" s="2" t="s">
        <v>25</v>
      </c>
      <c r="D33" s="112" t="s">
        <v>88</v>
      </c>
      <c r="E33" s="113"/>
      <c r="F33" s="9"/>
      <c r="H33" s="105"/>
      <c r="I33" s="2" t="s">
        <v>25</v>
      </c>
      <c r="J33" s="112" t="s">
        <v>88</v>
      </c>
      <c r="K33" s="113"/>
      <c r="N33" s="105"/>
      <c r="O33" s="2" t="s">
        <v>25</v>
      </c>
      <c r="P33" s="112" t="s">
        <v>22</v>
      </c>
      <c r="Q33" s="113"/>
      <c r="T33" s="105"/>
      <c r="U33" s="2" t="s">
        <v>25</v>
      </c>
      <c r="V33" s="112" t="s">
        <v>87</v>
      </c>
      <c r="W33" s="113"/>
      <c r="Z33" s="105"/>
      <c r="AA33" s="2" t="s">
        <v>25</v>
      </c>
      <c r="AB33" s="112" t="s">
        <v>22</v>
      </c>
      <c r="AC33" s="113"/>
    </row>
    <row r="34" spans="2:33" ht="15.75" thickBot="1" x14ac:dyDescent="0.3">
      <c r="B34" s="105"/>
      <c r="C34" s="7" t="s">
        <v>26</v>
      </c>
      <c r="D34" s="112" t="s">
        <v>88</v>
      </c>
      <c r="E34" s="113"/>
      <c r="F34" s="9"/>
      <c r="H34" s="105"/>
      <c r="I34" s="7" t="s">
        <v>26</v>
      </c>
      <c r="J34" s="114" t="s">
        <v>87</v>
      </c>
      <c r="K34" s="115"/>
      <c r="N34" s="105"/>
      <c r="O34" s="7" t="s">
        <v>26</v>
      </c>
      <c r="P34" s="114" t="s">
        <v>22</v>
      </c>
      <c r="Q34" s="115"/>
      <c r="T34" s="105"/>
      <c r="U34" s="7" t="s">
        <v>26</v>
      </c>
      <c r="V34" s="114" t="s">
        <v>88</v>
      </c>
      <c r="W34" s="115"/>
      <c r="Z34" s="105"/>
      <c r="AA34" s="7" t="s">
        <v>26</v>
      </c>
      <c r="AB34" s="114" t="s">
        <v>22</v>
      </c>
      <c r="AC34" s="115"/>
    </row>
    <row r="35" spans="2:33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  <c r="AF35" s="21"/>
    </row>
    <row r="36" spans="2:33" x14ac:dyDescent="0.25">
      <c r="B36" s="110"/>
      <c r="C36" s="119" t="s">
        <v>253</v>
      </c>
      <c r="D36" s="120"/>
      <c r="E36" s="120"/>
      <c r="F36" s="121"/>
      <c r="H36" s="110"/>
      <c r="I36" s="119" t="s">
        <v>254</v>
      </c>
      <c r="J36" s="120"/>
      <c r="K36" s="120"/>
      <c r="L36" s="121"/>
      <c r="N36" s="110"/>
      <c r="O36" s="119" t="s">
        <v>255</v>
      </c>
      <c r="P36" s="120"/>
      <c r="Q36" s="120"/>
      <c r="R36" s="121"/>
      <c r="T36" s="110"/>
      <c r="U36" s="119" t="s">
        <v>270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  <c r="AF36" s="22"/>
    </row>
    <row r="37" spans="2:33" x14ac:dyDescent="0.25">
      <c r="B37" s="110"/>
      <c r="C37" s="122" t="s">
        <v>43</v>
      </c>
      <c r="D37" s="123"/>
      <c r="E37" s="123"/>
      <c r="F37" s="124"/>
      <c r="H37" s="110"/>
      <c r="I37" s="122" t="s">
        <v>256</v>
      </c>
      <c r="J37" s="123"/>
      <c r="K37" s="123"/>
      <c r="L37" s="124"/>
      <c r="N37" s="110"/>
      <c r="O37" s="122" t="s">
        <v>257</v>
      </c>
      <c r="P37" s="123"/>
      <c r="Q37" s="123"/>
      <c r="R37" s="124"/>
      <c r="T37" s="110"/>
      <c r="U37" s="122" t="s">
        <v>43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  <c r="AF37" s="22"/>
    </row>
    <row r="38" spans="2:33" x14ac:dyDescent="0.25">
      <c r="B38" s="110"/>
      <c r="C38" s="122" t="s">
        <v>43</v>
      </c>
      <c r="D38" s="123"/>
      <c r="E38" s="123"/>
      <c r="F38" s="124"/>
      <c r="H38" s="110"/>
      <c r="I38" s="122" t="s">
        <v>43</v>
      </c>
      <c r="J38" s="123"/>
      <c r="K38" s="123"/>
      <c r="L38" s="124"/>
      <c r="N38" s="110"/>
      <c r="O38" s="122" t="s">
        <v>258</v>
      </c>
      <c r="P38" s="123"/>
      <c r="Q38" s="123"/>
      <c r="R38" s="124"/>
      <c r="T38" s="110"/>
      <c r="U38" s="122" t="s">
        <v>43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  <c r="AF38" s="22"/>
    </row>
    <row r="39" spans="2:33" ht="15.75" thickBot="1" x14ac:dyDescent="0.3">
      <c r="B39" s="111"/>
      <c r="C39" s="125" t="s">
        <v>43</v>
      </c>
      <c r="D39" s="126"/>
      <c r="E39" s="126"/>
      <c r="F39" s="127"/>
      <c r="H39" s="111"/>
      <c r="I39" s="125" t="s">
        <v>43</v>
      </c>
      <c r="J39" s="126"/>
      <c r="K39" s="126"/>
      <c r="L39" s="127"/>
      <c r="N39" s="111"/>
      <c r="O39" s="125" t="s">
        <v>259</v>
      </c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  <c r="AF39" s="22"/>
    </row>
    <row r="40" spans="2:33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G40" s="18"/>
    </row>
    <row r="41" spans="2:33" s="9" customFormat="1" x14ac:dyDescent="0.25">
      <c r="B41" s="10"/>
      <c r="C41" s="13" t="s">
        <v>44</v>
      </c>
      <c r="D41" s="130" t="s">
        <v>230</v>
      </c>
      <c r="E41" s="131"/>
      <c r="F41" s="132"/>
      <c r="H41" s="10"/>
      <c r="I41" s="13" t="s">
        <v>44</v>
      </c>
      <c r="J41" s="130" t="s">
        <v>230</v>
      </c>
      <c r="K41" s="131"/>
      <c r="L41" s="132"/>
      <c r="N41" s="10"/>
      <c r="O41" s="13" t="s">
        <v>44</v>
      </c>
      <c r="P41" s="130" t="s">
        <v>230</v>
      </c>
      <c r="Q41" s="131"/>
      <c r="R41" s="132"/>
      <c r="T41" s="10"/>
      <c r="U41" s="13" t="s">
        <v>44</v>
      </c>
      <c r="V41" s="130" t="s">
        <v>47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23"/>
      <c r="AG41" s="18"/>
    </row>
    <row r="42" spans="2:33" s="9" customFormat="1" ht="15.75" thickBot="1" x14ac:dyDescent="0.3">
      <c r="B42" s="10"/>
      <c r="C42" s="14" t="s">
        <v>45</v>
      </c>
      <c r="D42" s="128" t="s">
        <v>260</v>
      </c>
      <c r="E42" s="128"/>
      <c r="F42" s="129"/>
      <c r="H42" s="10"/>
      <c r="I42" s="14" t="s">
        <v>45</v>
      </c>
      <c r="J42" s="128" t="s">
        <v>260</v>
      </c>
      <c r="K42" s="128"/>
      <c r="L42" s="129"/>
      <c r="N42" s="10"/>
      <c r="O42" s="14" t="s">
        <v>45</v>
      </c>
      <c r="P42" s="128" t="s">
        <v>260</v>
      </c>
      <c r="Q42" s="128"/>
      <c r="R42" s="129"/>
      <c r="T42" s="10"/>
      <c r="U42" s="14" t="s">
        <v>45</v>
      </c>
      <c r="V42" s="128" t="s">
        <v>46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23"/>
      <c r="AG42" s="18"/>
    </row>
    <row r="43" spans="2:33" s="9" customFormat="1" x14ac:dyDescent="0.25">
      <c r="B43" s="10"/>
      <c r="D43" s="11"/>
      <c r="AG43" s="18"/>
    </row>
    <row r="44" spans="2:33" s="9" customFormat="1" x14ac:dyDescent="0.25">
      <c r="B44" s="10"/>
      <c r="D44" s="11"/>
      <c r="AG44" s="18"/>
    </row>
    <row r="45" spans="2:33" s="9" customFormat="1" x14ac:dyDescent="0.25">
      <c r="B45" s="10"/>
      <c r="D45" s="11"/>
      <c r="AG45" s="18"/>
    </row>
    <row r="46" spans="2:33" s="9" customFormat="1" x14ac:dyDescent="0.25">
      <c r="B46" s="10"/>
      <c r="D46" s="11"/>
      <c r="AG46" s="18"/>
    </row>
    <row r="47" spans="2:33" s="9" customFormat="1" x14ac:dyDescent="0.25">
      <c r="B47" s="10"/>
      <c r="D47" s="11"/>
      <c r="AG47" s="18"/>
    </row>
    <row r="48" spans="2:33" s="9" customFormat="1" x14ac:dyDescent="0.25">
      <c r="B48" s="10"/>
      <c r="D48" s="11"/>
      <c r="AG48" s="18"/>
    </row>
    <row r="49" spans="2:33" s="9" customFormat="1" x14ac:dyDescent="0.25">
      <c r="B49" s="10"/>
      <c r="D49" s="11"/>
      <c r="AG49" s="18"/>
    </row>
    <row r="50" spans="2:33" s="9" customFormat="1" x14ac:dyDescent="0.25">
      <c r="B50" s="10"/>
      <c r="D50" s="11"/>
      <c r="AG50" s="18"/>
    </row>
    <row r="51" spans="2:33" s="9" customFormat="1" x14ac:dyDescent="0.25">
      <c r="B51" s="10"/>
      <c r="D51" s="11"/>
      <c r="AG51" s="18"/>
    </row>
    <row r="52" spans="2:33" s="9" customFormat="1" x14ac:dyDescent="0.25">
      <c r="B52" s="10"/>
      <c r="D52" s="11"/>
      <c r="AG52" s="18"/>
    </row>
    <row r="53" spans="2:33" s="9" customFormat="1" x14ac:dyDescent="0.25">
      <c r="B53" s="10"/>
      <c r="D53" s="11"/>
      <c r="AG53" s="18"/>
    </row>
    <row r="54" spans="2:33" s="9" customFormat="1" x14ac:dyDescent="0.25">
      <c r="B54" s="10"/>
      <c r="D54" s="11"/>
      <c r="AG54" s="18"/>
    </row>
    <row r="55" spans="2:33" s="9" customFormat="1" x14ac:dyDescent="0.25">
      <c r="B55" s="10"/>
      <c r="D55" s="11"/>
      <c r="AG55" s="18"/>
    </row>
    <row r="56" spans="2:33" s="9" customFormat="1" x14ac:dyDescent="0.25">
      <c r="B56" s="10"/>
      <c r="D56" s="11"/>
      <c r="AG56" s="18"/>
    </row>
    <row r="57" spans="2:33" s="9" customFormat="1" x14ac:dyDescent="0.25">
      <c r="B57" s="10"/>
      <c r="D57" s="11"/>
      <c r="AG57" s="18"/>
    </row>
    <row r="58" spans="2:33" s="9" customFormat="1" x14ac:dyDescent="0.25">
      <c r="B58" s="10"/>
      <c r="D58" s="11"/>
      <c r="AG58" s="18"/>
    </row>
    <row r="59" spans="2:33" s="9" customFormat="1" x14ac:dyDescent="0.25">
      <c r="B59" s="10"/>
      <c r="D59" s="11"/>
      <c r="AG59" s="18"/>
    </row>
    <row r="60" spans="2:33" s="9" customFormat="1" x14ac:dyDescent="0.25">
      <c r="B60" s="10"/>
      <c r="D60" s="11"/>
      <c r="AG60" s="18"/>
    </row>
    <row r="61" spans="2:33" s="9" customFormat="1" x14ac:dyDescent="0.25">
      <c r="B61" s="10"/>
      <c r="D61" s="11"/>
      <c r="AG61" s="18"/>
    </row>
    <row r="62" spans="2:33" s="9" customFormat="1" x14ac:dyDescent="0.25">
      <c r="B62" s="10"/>
      <c r="D62" s="11"/>
      <c r="AG62" s="18"/>
    </row>
    <row r="63" spans="2:33" s="9" customFormat="1" x14ac:dyDescent="0.25">
      <c r="B63" s="10"/>
      <c r="D63" s="11"/>
      <c r="AG63" s="18"/>
    </row>
    <row r="64" spans="2:33" s="9" customFormat="1" x14ac:dyDescent="0.25">
      <c r="B64" s="10"/>
      <c r="D64" s="11"/>
      <c r="AG64" s="18"/>
    </row>
    <row r="65" spans="2:33" s="9" customFormat="1" x14ac:dyDescent="0.25">
      <c r="B65" s="10"/>
      <c r="D65" s="11"/>
      <c r="AG65" s="18"/>
    </row>
    <row r="66" spans="2:33" s="9" customFormat="1" x14ac:dyDescent="0.25">
      <c r="B66" s="10"/>
      <c r="D66" s="11"/>
      <c r="AG66" s="18"/>
    </row>
    <row r="67" spans="2:33" s="9" customFormat="1" x14ac:dyDescent="0.25">
      <c r="B67" s="10"/>
      <c r="D67" s="11"/>
      <c r="AG67" s="18"/>
    </row>
    <row r="68" spans="2:33" s="9" customFormat="1" x14ac:dyDescent="0.25">
      <c r="B68" s="10"/>
      <c r="D68" s="11"/>
      <c r="AG68" s="18"/>
    </row>
    <row r="69" spans="2:33" s="9" customFormat="1" x14ac:dyDescent="0.25">
      <c r="B69" s="10"/>
      <c r="D69" s="11"/>
      <c r="AG69" s="18"/>
    </row>
    <row r="70" spans="2:33" s="9" customFormat="1" x14ac:dyDescent="0.25">
      <c r="B70" s="10"/>
      <c r="D70" s="11"/>
      <c r="AG70" s="18"/>
    </row>
    <row r="71" spans="2:33" s="9" customFormat="1" x14ac:dyDescent="0.25">
      <c r="B71" s="10"/>
      <c r="D71" s="11"/>
      <c r="AG71" s="18"/>
    </row>
    <row r="72" spans="2:33" s="9" customFormat="1" x14ac:dyDescent="0.25">
      <c r="B72" s="10"/>
      <c r="D72" s="11"/>
      <c r="AG72" s="18"/>
    </row>
    <row r="73" spans="2:33" s="9" customFormat="1" x14ac:dyDescent="0.25">
      <c r="B73" s="10"/>
      <c r="D73" s="11"/>
      <c r="AG73" s="18"/>
    </row>
    <row r="74" spans="2:33" s="9" customFormat="1" x14ac:dyDescent="0.25">
      <c r="B74" s="10"/>
      <c r="D74" s="11"/>
      <c r="AG74" s="18"/>
    </row>
    <row r="75" spans="2:33" s="9" customFormat="1" x14ac:dyDescent="0.25">
      <c r="B75" s="10"/>
      <c r="D75" s="11"/>
      <c r="AG75" s="18"/>
    </row>
    <row r="76" spans="2:33" s="9" customFormat="1" x14ac:dyDescent="0.25">
      <c r="B76" s="10"/>
      <c r="D76" s="11"/>
      <c r="AG76" s="18"/>
    </row>
    <row r="77" spans="2:33" s="9" customFormat="1" x14ac:dyDescent="0.25">
      <c r="B77" s="10"/>
      <c r="D77" s="11"/>
      <c r="AG77" s="18"/>
    </row>
    <row r="78" spans="2:33" s="9" customFormat="1" x14ac:dyDescent="0.25">
      <c r="B78" s="10"/>
      <c r="D78" s="11"/>
      <c r="AG78" s="18"/>
    </row>
    <row r="79" spans="2:33" s="9" customFormat="1" x14ac:dyDescent="0.25">
      <c r="B79" s="10"/>
      <c r="D79" s="11"/>
      <c r="AG79" s="18"/>
    </row>
    <row r="80" spans="2:33" s="9" customFormat="1" x14ac:dyDescent="0.25">
      <c r="B80" s="10"/>
      <c r="D80" s="11"/>
      <c r="AG80" s="18"/>
    </row>
    <row r="81" spans="2:33" s="9" customFormat="1" x14ac:dyDescent="0.25">
      <c r="B81" s="10"/>
      <c r="D81" s="11"/>
      <c r="AG81" s="18"/>
    </row>
    <row r="82" spans="2:33" s="9" customFormat="1" x14ac:dyDescent="0.25">
      <c r="B82" s="10"/>
      <c r="D82" s="11"/>
      <c r="AG82" s="18"/>
    </row>
    <row r="83" spans="2:33" s="9" customFormat="1" x14ac:dyDescent="0.25">
      <c r="B83" s="10"/>
      <c r="D83" s="11"/>
      <c r="AG83" s="18"/>
    </row>
    <row r="84" spans="2:33" s="9" customFormat="1" x14ac:dyDescent="0.25">
      <c r="B84" s="10"/>
      <c r="D84" s="11"/>
      <c r="AG84" s="18"/>
    </row>
    <row r="85" spans="2:33" s="9" customFormat="1" x14ac:dyDescent="0.25">
      <c r="B85" s="10"/>
      <c r="D85" s="11"/>
      <c r="AG85" s="18"/>
    </row>
    <row r="86" spans="2:33" s="9" customFormat="1" x14ac:dyDescent="0.25">
      <c r="B86" s="10"/>
      <c r="D86" s="11"/>
      <c r="AG86" s="18"/>
    </row>
    <row r="87" spans="2:33" s="9" customFormat="1" x14ac:dyDescent="0.25">
      <c r="B87" s="10"/>
      <c r="D87" s="11"/>
      <c r="AG87" s="18"/>
    </row>
    <row r="88" spans="2:33" s="9" customFormat="1" x14ac:dyDescent="0.25">
      <c r="B88" s="10"/>
      <c r="D88" s="11"/>
      <c r="AG88" s="18"/>
    </row>
    <row r="89" spans="2:33" s="9" customFormat="1" x14ac:dyDescent="0.25">
      <c r="B89" s="10"/>
      <c r="D89" s="11"/>
      <c r="AG89" s="18"/>
    </row>
    <row r="90" spans="2:33" s="9" customFormat="1" x14ac:dyDescent="0.25">
      <c r="B90" s="10"/>
      <c r="D90" s="11"/>
      <c r="AG90" s="18"/>
    </row>
    <row r="91" spans="2:33" s="9" customFormat="1" x14ac:dyDescent="0.25">
      <c r="B91" s="10"/>
      <c r="D91" s="11"/>
      <c r="AG91" s="18"/>
    </row>
    <row r="92" spans="2:33" s="9" customFormat="1" x14ac:dyDescent="0.25">
      <c r="B92" s="10"/>
      <c r="D92" s="11"/>
      <c r="AG92" s="18"/>
    </row>
    <row r="93" spans="2:33" s="9" customFormat="1" x14ac:dyDescent="0.25">
      <c r="B93" s="10"/>
      <c r="D93" s="11"/>
      <c r="AG93" s="18"/>
    </row>
    <row r="94" spans="2:33" s="9" customFormat="1" x14ac:dyDescent="0.25">
      <c r="B94" s="10"/>
      <c r="D94" s="11"/>
      <c r="AG94" s="18"/>
    </row>
    <row r="95" spans="2:33" s="9" customFormat="1" x14ac:dyDescent="0.25">
      <c r="B95" s="10"/>
      <c r="D95" s="11"/>
      <c r="AG95" s="18"/>
    </row>
    <row r="96" spans="2:33" s="9" customFormat="1" x14ac:dyDescent="0.25">
      <c r="B96" s="10"/>
      <c r="D96" s="11"/>
      <c r="AG96" s="18"/>
    </row>
    <row r="97" spans="2:33" s="9" customFormat="1" x14ac:dyDescent="0.25">
      <c r="B97" s="10"/>
      <c r="D97" s="11"/>
      <c r="AG97" s="18"/>
    </row>
    <row r="98" spans="2:33" s="9" customFormat="1" x14ac:dyDescent="0.25">
      <c r="B98" s="10"/>
      <c r="D98" s="11"/>
      <c r="AG98" s="18"/>
    </row>
    <row r="99" spans="2:33" s="9" customFormat="1" x14ac:dyDescent="0.25">
      <c r="B99" s="10"/>
      <c r="D99" s="11"/>
      <c r="AG99" s="18"/>
    </row>
    <row r="100" spans="2:33" s="9" customFormat="1" x14ac:dyDescent="0.25">
      <c r="B100" s="10"/>
      <c r="D100" s="11"/>
      <c r="AG100" s="18"/>
    </row>
    <row r="101" spans="2:33" s="9" customFormat="1" x14ac:dyDescent="0.25">
      <c r="B101" s="10"/>
      <c r="D101" s="11"/>
      <c r="AG101" s="18"/>
    </row>
    <row r="102" spans="2:33" s="9" customFormat="1" x14ac:dyDescent="0.25">
      <c r="B102" s="10"/>
      <c r="D102" s="11"/>
      <c r="AG102" s="18"/>
    </row>
    <row r="103" spans="2:33" s="9" customFormat="1" x14ac:dyDescent="0.25">
      <c r="B103" s="10"/>
      <c r="D103" s="11"/>
      <c r="AG103" s="18"/>
    </row>
    <row r="104" spans="2:33" s="9" customFormat="1" x14ac:dyDescent="0.25">
      <c r="B104" s="10"/>
      <c r="D104" s="11"/>
      <c r="AG104" s="18"/>
    </row>
    <row r="105" spans="2:33" s="9" customFormat="1" x14ac:dyDescent="0.25">
      <c r="B105" s="10"/>
      <c r="D105" s="11"/>
      <c r="AG105" s="18"/>
    </row>
    <row r="106" spans="2:33" s="9" customFormat="1" x14ac:dyDescent="0.25">
      <c r="B106" s="10"/>
      <c r="D106" s="11"/>
      <c r="AG106" s="18"/>
    </row>
    <row r="107" spans="2:33" s="9" customFormat="1" x14ac:dyDescent="0.25">
      <c r="B107" s="10"/>
      <c r="D107" s="11"/>
      <c r="AG107" s="18"/>
    </row>
    <row r="108" spans="2:33" s="9" customFormat="1" x14ac:dyDescent="0.25">
      <c r="B108" s="10"/>
      <c r="D108" s="11"/>
      <c r="AG108" s="18"/>
    </row>
    <row r="109" spans="2:33" s="9" customFormat="1" x14ac:dyDescent="0.25">
      <c r="B109" s="10"/>
      <c r="D109" s="11"/>
      <c r="AG109" s="18"/>
    </row>
    <row r="110" spans="2:33" s="9" customFormat="1" x14ac:dyDescent="0.25">
      <c r="B110" s="10"/>
      <c r="D110" s="11"/>
      <c r="AG110" s="18"/>
    </row>
    <row r="111" spans="2:33" s="9" customFormat="1" x14ac:dyDescent="0.25">
      <c r="B111" s="10"/>
      <c r="D111" s="11"/>
      <c r="AG111" s="18"/>
    </row>
    <row r="112" spans="2:33" s="9" customFormat="1" x14ac:dyDescent="0.25">
      <c r="B112" s="10"/>
      <c r="D112" s="11"/>
      <c r="AG112" s="18"/>
    </row>
    <row r="113" spans="2:33" s="9" customFormat="1" x14ac:dyDescent="0.25">
      <c r="B113" s="10"/>
      <c r="D113" s="11"/>
      <c r="AG113" s="18"/>
    </row>
    <row r="114" spans="2:33" s="9" customFormat="1" x14ac:dyDescent="0.25">
      <c r="B114" s="10"/>
      <c r="D114" s="11"/>
      <c r="AG114" s="18"/>
    </row>
    <row r="115" spans="2:33" s="9" customFormat="1" x14ac:dyDescent="0.25">
      <c r="B115" s="10"/>
      <c r="D115" s="11"/>
      <c r="AG115" s="18"/>
    </row>
    <row r="116" spans="2:33" s="9" customFormat="1" x14ac:dyDescent="0.25">
      <c r="B116" s="10"/>
      <c r="D116" s="11"/>
      <c r="AG116" s="18"/>
    </row>
    <row r="117" spans="2:33" s="9" customFormat="1" x14ac:dyDescent="0.25">
      <c r="B117" s="10"/>
      <c r="D117" s="11"/>
      <c r="AG117" s="18"/>
    </row>
    <row r="118" spans="2:33" s="9" customFormat="1" x14ac:dyDescent="0.25">
      <c r="B118" s="10"/>
      <c r="D118" s="11"/>
      <c r="AG118" s="18"/>
    </row>
    <row r="119" spans="2:33" s="9" customFormat="1" x14ac:dyDescent="0.25">
      <c r="B119" s="10"/>
      <c r="D119" s="11"/>
      <c r="AG119" s="18"/>
    </row>
    <row r="120" spans="2:33" s="9" customFormat="1" x14ac:dyDescent="0.25">
      <c r="B120" s="10"/>
      <c r="D120" s="11"/>
      <c r="AG120" s="18"/>
    </row>
    <row r="121" spans="2:33" s="9" customFormat="1" x14ac:dyDescent="0.25">
      <c r="B121" s="10"/>
      <c r="D121" s="11"/>
      <c r="AG121" s="18"/>
    </row>
    <row r="122" spans="2:33" s="9" customFormat="1" x14ac:dyDescent="0.25">
      <c r="B122" s="10"/>
      <c r="D122" s="11"/>
      <c r="AG122" s="18"/>
    </row>
    <row r="123" spans="2:33" s="9" customFormat="1" x14ac:dyDescent="0.25">
      <c r="B123" s="10"/>
      <c r="D123" s="11"/>
      <c r="AG123" s="18"/>
    </row>
    <row r="124" spans="2:33" s="9" customFormat="1" x14ac:dyDescent="0.25">
      <c r="B124" s="10"/>
      <c r="D124" s="11"/>
      <c r="AG124" s="18"/>
    </row>
    <row r="125" spans="2:33" s="9" customFormat="1" x14ac:dyDescent="0.25">
      <c r="B125" s="10"/>
      <c r="D125" s="11"/>
      <c r="AG125" s="18"/>
    </row>
    <row r="126" spans="2:33" s="9" customFormat="1" x14ac:dyDescent="0.25">
      <c r="B126" s="10"/>
      <c r="D126" s="11"/>
      <c r="AG126" s="18"/>
    </row>
    <row r="127" spans="2:33" s="9" customFormat="1" x14ac:dyDescent="0.25">
      <c r="B127" s="10"/>
      <c r="D127" s="11"/>
      <c r="AG127" s="18"/>
    </row>
    <row r="128" spans="2:33" s="9" customFormat="1" x14ac:dyDescent="0.25">
      <c r="B128" s="10"/>
      <c r="D128" s="11"/>
      <c r="AG128" s="18"/>
    </row>
    <row r="129" spans="2:33" s="9" customFormat="1" x14ac:dyDescent="0.25">
      <c r="B129" s="10"/>
      <c r="D129" s="11"/>
      <c r="AG129" s="18"/>
    </row>
    <row r="130" spans="2:33" s="9" customFormat="1" x14ac:dyDescent="0.25">
      <c r="B130" s="10"/>
      <c r="D130" s="11"/>
      <c r="AG130" s="18"/>
    </row>
    <row r="131" spans="2:33" s="9" customFormat="1" x14ac:dyDescent="0.25">
      <c r="B131" s="10"/>
      <c r="D131" s="11"/>
      <c r="AG131" s="18"/>
    </row>
    <row r="132" spans="2:33" s="9" customFormat="1" x14ac:dyDescent="0.25">
      <c r="B132" s="10"/>
      <c r="D132" s="11"/>
      <c r="AG132" s="18"/>
    </row>
    <row r="133" spans="2:33" s="9" customFormat="1" x14ac:dyDescent="0.25">
      <c r="B133" s="10"/>
      <c r="D133" s="11"/>
      <c r="AG133" s="18"/>
    </row>
    <row r="134" spans="2:33" s="9" customFormat="1" x14ac:dyDescent="0.25">
      <c r="B134" s="10"/>
      <c r="D134" s="11"/>
      <c r="AG134" s="18"/>
    </row>
    <row r="135" spans="2:33" s="9" customFormat="1" x14ac:dyDescent="0.25">
      <c r="B135" s="10"/>
      <c r="D135" s="11"/>
      <c r="AG135" s="18"/>
    </row>
    <row r="136" spans="2:33" s="9" customFormat="1" x14ac:dyDescent="0.25">
      <c r="B136" s="10"/>
      <c r="D136" s="11"/>
      <c r="AG136" s="18"/>
    </row>
    <row r="137" spans="2:33" s="9" customFormat="1" x14ac:dyDescent="0.25">
      <c r="B137" s="10"/>
      <c r="D137" s="11"/>
      <c r="AG137" s="18"/>
    </row>
    <row r="138" spans="2:33" s="9" customFormat="1" x14ac:dyDescent="0.25">
      <c r="B138" s="10"/>
      <c r="D138" s="11"/>
      <c r="AG138" s="18"/>
    </row>
    <row r="139" spans="2:33" s="9" customFormat="1" x14ac:dyDescent="0.25">
      <c r="B139" s="10"/>
      <c r="D139" s="11"/>
      <c r="AG139" s="18"/>
    </row>
    <row r="140" spans="2:33" s="9" customFormat="1" x14ac:dyDescent="0.25">
      <c r="B140" s="10"/>
      <c r="D140" s="11"/>
      <c r="AG140" s="18"/>
    </row>
    <row r="141" spans="2:33" s="9" customFormat="1" x14ac:dyDescent="0.25">
      <c r="B141" s="10"/>
      <c r="D141" s="11"/>
      <c r="AG141" s="18"/>
    </row>
    <row r="142" spans="2:33" s="9" customFormat="1" x14ac:dyDescent="0.25">
      <c r="B142" s="10"/>
      <c r="D142" s="11"/>
      <c r="AG142" s="18"/>
    </row>
    <row r="143" spans="2:33" s="9" customFormat="1" x14ac:dyDescent="0.25">
      <c r="B143" s="10"/>
      <c r="D143" s="11"/>
      <c r="AG143" s="18"/>
    </row>
    <row r="144" spans="2:33" s="9" customFormat="1" x14ac:dyDescent="0.25">
      <c r="B144" s="10"/>
      <c r="D144" s="11"/>
      <c r="AG144" s="18"/>
    </row>
    <row r="145" spans="2:33" s="9" customFormat="1" x14ac:dyDescent="0.25">
      <c r="B145" s="10"/>
      <c r="D145" s="11"/>
      <c r="AG145" s="18"/>
    </row>
    <row r="146" spans="2:33" s="9" customFormat="1" x14ac:dyDescent="0.25">
      <c r="B146" s="10"/>
      <c r="D146" s="11"/>
      <c r="AG146" s="18"/>
    </row>
    <row r="147" spans="2:33" s="9" customFormat="1" x14ac:dyDescent="0.25">
      <c r="B147" s="10"/>
      <c r="D147" s="11"/>
      <c r="AG147" s="18"/>
    </row>
    <row r="148" spans="2:33" s="9" customFormat="1" x14ac:dyDescent="0.25">
      <c r="B148" s="10"/>
      <c r="D148" s="11"/>
      <c r="AG148" s="18"/>
    </row>
    <row r="149" spans="2:33" s="9" customFormat="1" x14ac:dyDescent="0.25">
      <c r="B149" s="10"/>
      <c r="D149" s="11"/>
      <c r="AG149" s="18"/>
    </row>
    <row r="150" spans="2:33" s="9" customFormat="1" x14ac:dyDescent="0.25">
      <c r="B150" s="10"/>
      <c r="D150" s="11"/>
      <c r="AG150" s="18"/>
    </row>
    <row r="151" spans="2:33" s="9" customFormat="1" x14ac:dyDescent="0.25">
      <c r="B151" s="10"/>
      <c r="D151" s="11"/>
      <c r="AG151" s="18"/>
    </row>
    <row r="152" spans="2:33" s="9" customFormat="1" x14ac:dyDescent="0.25">
      <c r="B152" s="10"/>
      <c r="D152" s="11"/>
      <c r="AG152" s="18"/>
    </row>
  </sheetData>
  <mergeCells count="176">
    <mergeCell ref="AB41:AD41"/>
    <mergeCell ref="AB42:AD42"/>
    <mergeCell ref="Z31:Z34"/>
    <mergeCell ref="AB31:AC31"/>
    <mergeCell ref="AB32:AC32"/>
    <mergeCell ref="AB33:AC33"/>
    <mergeCell ref="AB34:AC34"/>
    <mergeCell ref="Z35:Z39"/>
    <mergeCell ref="AA35:AD35"/>
    <mergeCell ref="AA36:AD36"/>
    <mergeCell ref="AA37:AD37"/>
    <mergeCell ref="AA38:AD38"/>
    <mergeCell ref="AA39:AD39"/>
    <mergeCell ref="Z21:Z24"/>
    <mergeCell ref="AB21:AC21"/>
    <mergeCell ref="AB22:AC22"/>
    <mergeCell ref="AB23:AC23"/>
    <mergeCell ref="AB24:AC24"/>
    <mergeCell ref="Z25:Z30"/>
    <mergeCell ref="AB25:AC25"/>
    <mergeCell ref="AB26:AC26"/>
    <mergeCell ref="AB27:AC27"/>
    <mergeCell ref="AB28:AC28"/>
    <mergeCell ref="AB29:AC29"/>
    <mergeCell ref="AB30:AC30"/>
    <mergeCell ref="AI2:AJ2"/>
    <mergeCell ref="AA3:AD3"/>
    <mergeCell ref="Z4:Z15"/>
    <mergeCell ref="AC4:AD10"/>
    <mergeCell ref="AC11:AD11"/>
    <mergeCell ref="AC15:AD15"/>
    <mergeCell ref="Z17:Z20"/>
    <mergeCell ref="AB17:AC17"/>
    <mergeCell ref="AB18:AC18"/>
    <mergeCell ref="AB19:AC19"/>
    <mergeCell ref="AB20:AC20"/>
    <mergeCell ref="B4:B15"/>
    <mergeCell ref="E4:F10"/>
    <mergeCell ref="H4:H15"/>
    <mergeCell ref="K4:L10"/>
    <mergeCell ref="N4:N15"/>
    <mergeCell ref="Q4:R10"/>
    <mergeCell ref="E11:F11"/>
    <mergeCell ref="K11:L11"/>
    <mergeCell ref="Q11:R11"/>
    <mergeCell ref="T4:T15"/>
    <mergeCell ref="W4:X10"/>
    <mergeCell ref="E15:F15"/>
    <mergeCell ref="K15:L15"/>
    <mergeCell ref="Q15:R15"/>
    <mergeCell ref="W15:X15"/>
    <mergeCell ref="C3:F3"/>
    <mergeCell ref="I3:L3"/>
    <mergeCell ref="O3:R3"/>
    <mergeCell ref="U3:X3"/>
    <mergeCell ref="W11:X11"/>
    <mergeCell ref="J19:K19"/>
    <mergeCell ref="P19:Q19"/>
    <mergeCell ref="V19:W19"/>
    <mergeCell ref="B17:B20"/>
    <mergeCell ref="D17:E17"/>
    <mergeCell ref="H17:H20"/>
    <mergeCell ref="J17:K17"/>
    <mergeCell ref="N17:N20"/>
    <mergeCell ref="P17:Q17"/>
    <mergeCell ref="D20:E20"/>
    <mergeCell ref="J20:K20"/>
    <mergeCell ref="P20:Q20"/>
    <mergeCell ref="J22:K22"/>
    <mergeCell ref="P22:Q22"/>
    <mergeCell ref="V22:W22"/>
    <mergeCell ref="D23:E23"/>
    <mergeCell ref="J23:K23"/>
    <mergeCell ref="P23:Q23"/>
    <mergeCell ref="V23:W23"/>
    <mergeCell ref="V20:W20"/>
    <mergeCell ref="B21:B24"/>
    <mergeCell ref="D21:E21"/>
    <mergeCell ref="H21:H24"/>
    <mergeCell ref="J21:K21"/>
    <mergeCell ref="N21:N24"/>
    <mergeCell ref="P21:Q21"/>
    <mergeCell ref="T21:T24"/>
    <mergeCell ref="V21:W21"/>
    <mergeCell ref="D22:E22"/>
    <mergeCell ref="T17:T20"/>
    <mergeCell ref="V17:W17"/>
    <mergeCell ref="D18:E18"/>
    <mergeCell ref="J18:K18"/>
    <mergeCell ref="P18:Q18"/>
    <mergeCell ref="V18:W18"/>
    <mergeCell ref="D19:E19"/>
    <mergeCell ref="D24:E24"/>
    <mergeCell ref="J24:K24"/>
    <mergeCell ref="P24:Q24"/>
    <mergeCell ref="V24:W24"/>
    <mergeCell ref="B25:B30"/>
    <mergeCell ref="D25:E25"/>
    <mergeCell ref="H25:H30"/>
    <mergeCell ref="J25:K25"/>
    <mergeCell ref="N25:N30"/>
    <mergeCell ref="P25:Q25"/>
    <mergeCell ref="D28:E28"/>
    <mergeCell ref="J28:K28"/>
    <mergeCell ref="P28:Q28"/>
    <mergeCell ref="V28:W28"/>
    <mergeCell ref="D29:E29"/>
    <mergeCell ref="J29:K29"/>
    <mergeCell ref="P29:Q29"/>
    <mergeCell ref="V29:W29"/>
    <mergeCell ref="T25:T30"/>
    <mergeCell ref="V25:W25"/>
    <mergeCell ref="D26:E26"/>
    <mergeCell ref="J26:K26"/>
    <mergeCell ref="P26:Q26"/>
    <mergeCell ref="V26:W26"/>
    <mergeCell ref="D27:E27"/>
    <mergeCell ref="J27:K27"/>
    <mergeCell ref="P27:Q27"/>
    <mergeCell ref="V27:W27"/>
    <mergeCell ref="D30:E30"/>
    <mergeCell ref="J30:K30"/>
    <mergeCell ref="P30:Q30"/>
    <mergeCell ref="V30:W30"/>
    <mergeCell ref="B31:B34"/>
    <mergeCell ref="D31:E31"/>
    <mergeCell ref="H31:H34"/>
    <mergeCell ref="J31:K31"/>
    <mergeCell ref="N31:N34"/>
    <mergeCell ref="P31:Q31"/>
    <mergeCell ref="O37:R37"/>
    <mergeCell ref="U37:X37"/>
    <mergeCell ref="D34:E34"/>
    <mergeCell ref="J34:K34"/>
    <mergeCell ref="P34:Q34"/>
    <mergeCell ref="V34:W34"/>
    <mergeCell ref="B35:B39"/>
    <mergeCell ref="C35:F35"/>
    <mergeCell ref="H35:H39"/>
    <mergeCell ref="I35:L35"/>
    <mergeCell ref="N35:N39"/>
    <mergeCell ref="O35:R35"/>
    <mergeCell ref="T31:T34"/>
    <mergeCell ref="V31:W31"/>
    <mergeCell ref="D32:E32"/>
    <mergeCell ref="J32:K32"/>
    <mergeCell ref="P32:Q32"/>
    <mergeCell ref="V32:W32"/>
    <mergeCell ref="D33:E33"/>
    <mergeCell ref="J33:K33"/>
    <mergeCell ref="P33:Q33"/>
    <mergeCell ref="V33:W33"/>
    <mergeCell ref="D41:F41"/>
    <mergeCell ref="J41:L41"/>
    <mergeCell ref="P41:R41"/>
    <mergeCell ref="V41:X41"/>
    <mergeCell ref="D42:F42"/>
    <mergeCell ref="J42:L42"/>
    <mergeCell ref="P42:R42"/>
    <mergeCell ref="V42:X42"/>
    <mergeCell ref="C38:F38"/>
    <mergeCell ref="I38:L38"/>
    <mergeCell ref="O38:R38"/>
    <mergeCell ref="U38:X38"/>
    <mergeCell ref="C39:F39"/>
    <mergeCell ref="I39:L39"/>
    <mergeCell ref="O39:R39"/>
    <mergeCell ref="U39:X39"/>
    <mergeCell ref="T35:T39"/>
    <mergeCell ref="U35:X35"/>
    <mergeCell ref="C36:F36"/>
    <mergeCell ref="I36:L36"/>
    <mergeCell ref="O36:R36"/>
    <mergeCell ref="U36:X36"/>
    <mergeCell ref="C37:F37"/>
    <mergeCell ref="I37:L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9EE0-73C5-423C-BCAB-81F66C827B47}">
  <sheetPr>
    <tabColor theme="5"/>
  </sheetPr>
  <dimension ref="A1:BI152"/>
  <sheetViews>
    <sheetView zoomScale="115" zoomScaleNormal="115" workbookViewId="0">
      <selection activeCell="O7" sqref="O7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11.42578125" style="9"/>
    <col min="15" max="15" width="21.85546875" style="9" customWidth="1"/>
    <col min="16" max="16" width="7.42578125" style="9" customWidth="1"/>
    <col min="17" max="18" width="11.42578125" style="9" customWidth="1"/>
    <col min="19" max="19" width="4" style="9" customWidth="1"/>
    <col min="20" max="20" width="0" style="9" hidden="1" customWidth="1"/>
    <col min="21" max="21" width="21.85546875" style="9" hidden="1" customWidth="1"/>
    <col min="22" max="22" width="7.42578125" style="9" hidden="1" customWidth="1"/>
    <col min="23" max="24" width="11.42578125" style="9" hidden="1" customWidth="1"/>
    <col min="25" max="25" width="4.5703125" style="9" hidden="1" customWidth="1"/>
    <col min="26" max="26" width="11.42578125" style="9" hidden="1" customWidth="1"/>
    <col min="27" max="27" width="21.85546875" style="9" hidden="1" customWidth="1"/>
    <col min="28" max="31" width="11.42578125" style="9" hidden="1" customWidth="1"/>
    <col min="32" max="32" width="3.42578125" style="9" customWidth="1"/>
    <col min="33" max="33" width="0.85546875" style="18" customWidth="1"/>
    <col min="34" max="34" width="6.5703125" style="9" customWidth="1"/>
    <col min="35" max="35" width="24" style="9" customWidth="1"/>
    <col min="36" max="36" width="11.42578125" style="60"/>
    <col min="37" max="61" width="11.42578125" style="9"/>
  </cols>
  <sheetData>
    <row r="1" spans="1:61" s="9" customFormat="1" x14ac:dyDescent="0.25">
      <c r="B1" s="10"/>
      <c r="D1" s="11"/>
      <c r="AG1" s="18"/>
      <c r="AJ1" s="60"/>
    </row>
    <row r="2" spans="1:61" s="9" customFormat="1" ht="28.5" customHeight="1" thickBot="1" x14ac:dyDescent="0.3">
      <c r="B2" s="10"/>
      <c r="D2" s="11"/>
      <c r="AG2" s="18"/>
      <c r="AI2" s="86" t="s">
        <v>53</v>
      </c>
      <c r="AJ2" s="86"/>
      <c r="AK2" s="26"/>
      <c r="AL2" s="26"/>
      <c r="AM2" s="26"/>
    </row>
    <row r="3" spans="1:61" ht="22.5" customHeight="1" thickBot="1" x14ac:dyDescent="0.3">
      <c r="C3" s="87" t="s">
        <v>200</v>
      </c>
      <c r="D3" s="88"/>
      <c r="E3" s="88"/>
      <c r="F3" s="89"/>
      <c r="H3" s="8"/>
      <c r="I3" s="87" t="s">
        <v>201</v>
      </c>
      <c r="J3" s="88"/>
      <c r="K3" s="88"/>
      <c r="L3" s="89"/>
      <c r="N3" s="8"/>
      <c r="O3" s="87" t="s">
        <v>202</v>
      </c>
      <c r="P3" s="88"/>
      <c r="Q3" s="88"/>
      <c r="R3" s="89"/>
      <c r="T3" s="8"/>
      <c r="U3" s="87" t="s">
        <v>48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F3" s="20"/>
      <c r="AI3" s="24"/>
      <c r="AJ3" s="26"/>
      <c r="AK3" s="24"/>
      <c r="AL3" s="24"/>
      <c r="AM3" s="24"/>
    </row>
    <row r="4" spans="1:61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0</v>
      </c>
      <c r="E4" s="94"/>
      <c r="F4" s="95"/>
      <c r="G4" s="29"/>
      <c r="H4" s="91" t="s">
        <v>9</v>
      </c>
      <c r="I4" s="27" t="s">
        <v>1</v>
      </c>
      <c r="J4" s="12">
        <f>J6+J7+J8+J9+J10+J11</f>
        <v>585</v>
      </c>
      <c r="K4" s="94"/>
      <c r="L4" s="95"/>
      <c r="M4" s="29"/>
      <c r="N4" s="91" t="s">
        <v>9</v>
      </c>
      <c r="O4" s="27" t="s">
        <v>1</v>
      </c>
      <c r="P4" s="12">
        <f>P6+P7+P8+P9+P10+P11</f>
        <v>0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0"/>
      <c r="AG4" s="31"/>
      <c r="AH4" s="29"/>
      <c r="AI4" s="28" t="s">
        <v>1</v>
      </c>
      <c r="AJ4" s="25">
        <f>J4+P4+V4</f>
        <v>585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5.75" customHeight="1" x14ac:dyDescent="0.25">
      <c r="B5" s="92"/>
      <c r="C5" s="6" t="s">
        <v>0</v>
      </c>
      <c r="D5" s="16">
        <v>0</v>
      </c>
      <c r="E5" s="96"/>
      <c r="F5" s="97"/>
      <c r="H5" s="92"/>
      <c r="I5" s="6" t="s">
        <v>0</v>
      </c>
      <c r="J5" s="16">
        <v>311</v>
      </c>
      <c r="K5" s="96"/>
      <c r="L5" s="97"/>
      <c r="N5" s="92"/>
      <c r="O5" s="6" t="s">
        <v>0</v>
      </c>
      <c r="P5" s="16">
        <v>0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F5" s="17"/>
      <c r="AI5" s="6" t="s">
        <v>0</v>
      </c>
      <c r="AJ5" s="16">
        <f>J5+P5+V5</f>
        <v>311</v>
      </c>
    </row>
    <row r="6" spans="1:61" ht="15.75" customHeight="1" x14ac:dyDescent="0.25">
      <c r="B6" s="92"/>
      <c r="C6" s="2" t="s">
        <v>2</v>
      </c>
      <c r="D6" s="4">
        <v>0</v>
      </c>
      <c r="E6" s="96"/>
      <c r="F6" s="97"/>
      <c r="H6" s="92"/>
      <c r="I6" s="2" t="s">
        <v>2</v>
      </c>
      <c r="J6" s="4">
        <v>121</v>
      </c>
      <c r="K6" s="96"/>
      <c r="L6" s="97"/>
      <c r="N6" s="92"/>
      <c r="O6" s="2" t="s">
        <v>2</v>
      </c>
      <c r="P6" s="4">
        <v>0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F6" s="17"/>
      <c r="AI6" s="2" t="s">
        <v>2</v>
      </c>
      <c r="AJ6" s="4">
        <f t="shared" ref="AJ6:AJ15" si="0">+J6+P6+V6</f>
        <v>121</v>
      </c>
    </row>
    <row r="7" spans="1:61" x14ac:dyDescent="0.25">
      <c r="B7" s="92"/>
      <c r="C7" s="2" t="s">
        <v>3</v>
      </c>
      <c r="D7" s="4">
        <v>0</v>
      </c>
      <c r="E7" s="96"/>
      <c r="F7" s="97"/>
      <c r="H7" s="92"/>
      <c r="I7" s="2" t="s">
        <v>3</v>
      </c>
      <c r="J7" s="4">
        <v>201</v>
      </c>
      <c r="K7" s="96"/>
      <c r="L7" s="97"/>
      <c r="N7" s="92"/>
      <c r="O7" s="2" t="s">
        <v>3</v>
      </c>
      <c r="P7" s="4">
        <v>0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F7" s="17"/>
      <c r="AI7" s="2" t="s">
        <v>3</v>
      </c>
      <c r="AJ7" s="4">
        <f t="shared" si="0"/>
        <v>201</v>
      </c>
    </row>
    <row r="8" spans="1:61" x14ac:dyDescent="0.25">
      <c r="B8" s="92"/>
      <c r="C8" s="2" t="s">
        <v>4</v>
      </c>
      <c r="D8" s="4">
        <v>0</v>
      </c>
      <c r="E8" s="96"/>
      <c r="F8" s="97"/>
      <c r="H8" s="92"/>
      <c r="I8" s="2" t="s">
        <v>4</v>
      </c>
      <c r="J8" s="4">
        <v>106</v>
      </c>
      <c r="K8" s="96"/>
      <c r="L8" s="97"/>
      <c r="N8" s="92"/>
      <c r="O8" s="2" t="s">
        <v>4</v>
      </c>
      <c r="P8" s="4">
        <v>0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F8" s="17"/>
      <c r="AI8" s="2" t="s">
        <v>4</v>
      </c>
      <c r="AJ8" s="4">
        <f t="shared" si="0"/>
        <v>106</v>
      </c>
    </row>
    <row r="9" spans="1:61" x14ac:dyDescent="0.25">
      <c r="B9" s="92"/>
      <c r="C9" s="2" t="s">
        <v>5</v>
      </c>
      <c r="D9" s="4">
        <v>0</v>
      </c>
      <c r="E9" s="96"/>
      <c r="F9" s="97"/>
      <c r="H9" s="92"/>
      <c r="I9" s="2" t="s">
        <v>5</v>
      </c>
      <c r="J9" s="4">
        <v>108</v>
      </c>
      <c r="K9" s="96"/>
      <c r="L9" s="97"/>
      <c r="N9" s="92"/>
      <c r="O9" s="2" t="s">
        <v>5</v>
      </c>
      <c r="P9" s="4">
        <v>0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F9" s="17"/>
      <c r="AI9" s="2" t="s">
        <v>5</v>
      </c>
      <c r="AJ9" s="4">
        <f t="shared" si="0"/>
        <v>108</v>
      </c>
    </row>
    <row r="10" spans="1:61" ht="15.75" thickBot="1" x14ac:dyDescent="0.3">
      <c r="B10" s="92"/>
      <c r="C10" s="7" t="s">
        <v>6</v>
      </c>
      <c r="D10" s="15">
        <v>0</v>
      </c>
      <c r="E10" s="96"/>
      <c r="F10" s="97"/>
      <c r="H10" s="92"/>
      <c r="I10" s="7" t="s">
        <v>6</v>
      </c>
      <c r="J10" s="15">
        <v>12</v>
      </c>
      <c r="K10" s="96"/>
      <c r="L10" s="97"/>
      <c r="N10" s="92"/>
      <c r="O10" s="7" t="s">
        <v>6</v>
      </c>
      <c r="P10" s="15">
        <v>0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F10" s="17"/>
      <c r="AI10" s="7" t="s">
        <v>6</v>
      </c>
      <c r="AJ10" s="15">
        <f t="shared" si="0"/>
        <v>12</v>
      </c>
    </row>
    <row r="11" spans="1:61" ht="15.75" thickBot="1" x14ac:dyDescent="0.3">
      <c r="B11" s="92"/>
      <c r="C11" s="2" t="s">
        <v>7</v>
      </c>
      <c r="D11" s="4">
        <v>0</v>
      </c>
      <c r="E11" s="98" t="s">
        <v>33</v>
      </c>
      <c r="F11" s="99"/>
      <c r="H11" s="92"/>
      <c r="I11" s="2" t="s">
        <v>7</v>
      </c>
      <c r="J11" s="4">
        <v>37</v>
      </c>
      <c r="K11" s="98" t="s">
        <v>33</v>
      </c>
      <c r="L11" s="99"/>
      <c r="N11" s="92"/>
      <c r="O11" s="2" t="s">
        <v>7</v>
      </c>
      <c r="P11" s="4">
        <v>0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F11" s="19"/>
      <c r="AI11" s="2" t="s">
        <v>7</v>
      </c>
      <c r="AJ11" s="4">
        <f t="shared" si="0"/>
        <v>37</v>
      </c>
    </row>
    <row r="12" spans="1:61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F12" s="17"/>
      <c r="AI12" s="2" t="s">
        <v>49</v>
      </c>
      <c r="AJ12" s="4">
        <f t="shared" si="0"/>
        <v>0</v>
      </c>
    </row>
    <row r="13" spans="1:61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F13" s="17"/>
      <c r="AI13" s="2" t="s">
        <v>50</v>
      </c>
      <c r="AJ13" s="4">
        <f t="shared" si="0"/>
        <v>0</v>
      </c>
    </row>
    <row r="14" spans="1:61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F14" s="17"/>
      <c r="AI14" s="2" t="s">
        <v>51</v>
      </c>
      <c r="AJ14" s="4">
        <f t="shared" si="0"/>
        <v>0</v>
      </c>
    </row>
    <row r="15" spans="1:61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F15" s="19"/>
      <c r="AI15" s="3" t="s">
        <v>52</v>
      </c>
      <c r="AJ15" s="5">
        <f t="shared" si="0"/>
        <v>0</v>
      </c>
    </row>
    <row r="16" spans="1:61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G16" s="18"/>
      <c r="AJ16" s="60"/>
    </row>
    <row r="17" spans="2:36" x14ac:dyDescent="0.25">
      <c r="B17" s="104" t="s">
        <v>28</v>
      </c>
      <c r="C17" s="6" t="s">
        <v>10</v>
      </c>
      <c r="D17" s="107" t="s">
        <v>34</v>
      </c>
      <c r="E17" s="108"/>
      <c r="F17" s="9"/>
      <c r="H17" s="104" t="s">
        <v>28</v>
      </c>
      <c r="I17" s="6" t="s">
        <v>10</v>
      </c>
      <c r="J17" s="107" t="s">
        <v>34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34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6" ht="15.75" thickBot="1" x14ac:dyDescent="0.3">
      <c r="B18" s="105"/>
      <c r="C18" s="2" t="s">
        <v>11</v>
      </c>
      <c r="D18" s="100" t="s">
        <v>35</v>
      </c>
      <c r="E18" s="101"/>
      <c r="F18" s="9"/>
      <c r="H18" s="105"/>
      <c r="I18" s="2" t="s">
        <v>11</v>
      </c>
      <c r="J18" s="100" t="s">
        <v>35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35</v>
      </c>
      <c r="W18" s="101"/>
      <c r="Z18" s="105"/>
      <c r="AA18" s="2" t="s">
        <v>11</v>
      </c>
      <c r="AB18" s="100" t="s">
        <v>35</v>
      </c>
      <c r="AC18" s="101"/>
    </row>
    <row r="19" spans="2:36" ht="15.75" thickBot="1" x14ac:dyDescent="0.3">
      <c r="B19" s="105"/>
      <c r="C19" s="2" t="s">
        <v>12</v>
      </c>
      <c r="D19" s="100" t="s">
        <v>203</v>
      </c>
      <c r="E19" s="101"/>
      <c r="F19" s="9"/>
      <c r="H19" s="105"/>
      <c r="I19" s="2" t="s">
        <v>12</v>
      </c>
      <c r="J19" s="100" t="s">
        <v>204</v>
      </c>
      <c r="K19" s="101"/>
      <c r="N19" s="105"/>
      <c r="O19" s="2" t="s">
        <v>12</v>
      </c>
      <c r="P19" s="100" t="s">
        <v>205</v>
      </c>
      <c r="Q19" s="101"/>
      <c r="T19" s="105"/>
      <c r="U19" s="2" t="s">
        <v>12</v>
      </c>
      <c r="V19" s="100" t="s">
        <v>36</v>
      </c>
      <c r="W19" s="101"/>
      <c r="Z19" s="105"/>
      <c r="AA19" s="2" t="s">
        <v>12</v>
      </c>
      <c r="AB19" s="100" t="s">
        <v>36</v>
      </c>
      <c r="AC19" s="101"/>
      <c r="AI19" s="51" t="s">
        <v>54</v>
      </c>
      <c r="AJ19" s="52">
        <f>+AJ20+AJ21</f>
        <v>3</v>
      </c>
    </row>
    <row r="20" spans="2:36" ht="15.75" thickBot="1" x14ac:dyDescent="0.3">
      <c r="B20" s="106"/>
      <c r="C20" s="3" t="s">
        <v>13</v>
      </c>
      <c r="D20" s="102" t="s">
        <v>206</v>
      </c>
      <c r="E20" s="103"/>
      <c r="F20" s="9"/>
      <c r="H20" s="106"/>
      <c r="I20" s="3" t="s">
        <v>13</v>
      </c>
      <c r="J20" s="102" t="s">
        <v>207</v>
      </c>
      <c r="K20" s="103"/>
      <c r="N20" s="106"/>
      <c r="O20" s="3" t="s">
        <v>13</v>
      </c>
      <c r="P20" s="102" t="s">
        <v>208</v>
      </c>
      <c r="Q20" s="103"/>
      <c r="T20" s="106"/>
      <c r="U20" s="3" t="s">
        <v>13</v>
      </c>
      <c r="V20" s="102" t="s">
        <v>36</v>
      </c>
      <c r="W20" s="103"/>
      <c r="Z20" s="106"/>
      <c r="AA20" s="3" t="s">
        <v>13</v>
      </c>
      <c r="AB20" s="102" t="s">
        <v>36</v>
      </c>
      <c r="AC20" s="103"/>
      <c r="AI20" s="49" t="s">
        <v>55</v>
      </c>
      <c r="AJ20" s="61">
        <v>1</v>
      </c>
    </row>
    <row r="21" spans="2:36" ht="15.75" thickBot="1" x14ac:dyDescent="0.3">
      <c r="B21" s="109" t="s">
        <v>29</v>
      </c>
      <c r="C21" s="6" t="s">
        <v>14</v>
      </c>
      <c r="D21" s="107" t="s">
        <v>209</v>
      </c>
      <c r="E21" s="108"/>
      <c r="F21" s="9"/>
      <c r="H21" s="109" t="s">
        <v>29</v>
      </c>
      <c r="I21" s="6" t="s">
        <v>14</v>
      </c>
      <c r="J21" s="107" t="s">
        <v>210</v>
      </c>
      <c r="K21" s="108"/>
      <c r="N21" s="109" t="s">
        <v>29</v>
      </c>
      <c r="O21" s="6" t="s">
        <v>14</v>
      </c>
      <c r="P21" s="107" t="s">
        <v>211</v>
      </c>
      <c r="Q21" s="108"/>
      <c r="T21" s="109" t="s">
        <v>29</v>
      </c>
      <c r="U21" s="6" t="s">
        <v>14</v>
      </c>
      <c r="V21" s="107" t="s">
        <v>37</v>
      </c>
      <c r="W21" s="108"/>
      <c r="Z21" s="109" t="s">
        <v>29</v>
      </c>
      <c r="AA21" s="6" t="s">
        <v>14</v>
      </c>
      <c r="AB21" s="107" t="s">
        <v>37</v>
      </c>
      <c r="AC21" s="108"/>
      <c r="AI21" s="47" t="s">
        <v>56</v>
      </c>
      <c r="AJ21" s="62">
        <v>2</v>
      </c>
    </row>
    <row r="22" spans="2:36" x14ac:dyDescent="0.25">
      <c r="B22" s="110"/>
      <c r="C22" s="2" t="s">
        <v>15</v>
      </c>
      <c r="D22" s="100">
        <v>15701930</v>
      </c>
      <c r="E22" s="101"/>
      <c r="F22" s="9"/>
      <c r="H22" s="110"/>
      <c r="I22" s="2" t="s">
        <v>15</v>
      </c>
      <c r="J22" s="100">
        <v>23639410</v>
      </c>
      <c r="K22" s="101"/>
      <c r="N22" s="110"/>
      <c r="O22" s="2" t="s">
        <v>15</v>
      </c>
      <c r="P22" s="100">
        <v>12085619</v>
      </c>
      <c r="Q22" s="101"/>
      <c r="T22" s="110"/>
      <c r="U22" s="2" t="s">
        <v>15</v>
      </c>
      <c r="V22" s="100" t="s">
        <v>38</v>
      </c>
      <c r="W22" s="101"/>
      <c r="Z22" s="110"/>
      <c r="AA22" s="2" t="s">
        <v>15</v>
      </c>
      <c r="AB22" s="100" t="s">
        <v>38</v>
      </c>
      <c r="AC22" s="101"/>
    </row>
    <row r="23" spans="2:36" x14ac:dyDescent="0.25">
      <c r="B23" s="110"/>
      <c r="C23" s="2" t="s">
        <v>16</v>
      </c>
      <c r="D23" s="100" t="s">
        <v>212</v>
      </c>
      <c r="E23" s="101"/>
      <c r="F23" s="9"/>
      <c r="H23" s="110"/>
      <c r="I23" s="2" t="s">
        <v>16</v>
      </c>
      <c r="J23" s="100" t="s">
        <v>213</v>
      </c>
      <c r="K23" s="101"/>
      <c r="N23" s="110"/>
      <c r="O23" s="2" t="s">
        <v>16</v>
      </c>
      <c r="P23" s="100" t="s">
        <v>214</v>
      </c>
      <c r="Q23" s="101"/>
      <c r="T23" s="110"/>
      <c r="U23" s="2" t="s">
        <v>16</v>
      </c>
      <c r="V23" s="100" t="s">
        <v>39</v>
      </c>
      <c r="W23" s="101"/>
      <c r="Z23" s="110"/>
      <c r="AA23" s="2" t="s">
        <v>16</v>
      </c>
      <c r="AB23" s="100" t="s">
        <v>39</v>
      </c>
      <c r="AC23" s="101"/>
    </row>
    <row r="24" spans="2:36" ht="15.75" thickBot="1" x14ac:dyDescent="0.3">
      <c r="B24" s="111"/>
      <c r="C24" s="3" t="s">
        <v>17</v>
      </c>
      <c r="D24" s="102" t="s">
        <v>215</v>
      </c>
      <c r="E24" s="103"/>
      <c r="F24" s="9"/>
      <c r="H24" s="111"/>
      <c r="I24" s="3" t="s">
        <v>17</v>
      </c>
      <c r="J24" s="102" t="s">
        <v>216</v>
      </c>
      <c r="K24" s="103"/>
      <c r="N24" s="111"/>
      <c r="O24" s="3" t="s">
        <v>17</v>
      </c>
      <c r="P24" s="102" t="s">
        <v>217</v>
      </c>
      <c r="Q24" s="103"/>
      <c r="T24" s="111"/>
      <c r="U24" s="3" t="s">
        <v>17</v>
      </c>
      <c r="V24" s="102" t="s">
        <v>40</v>
      </c>
      <c r="W24" s="103"/>
      <c r="Z24" s="111"/>
      <c r="AA24" s="3" t="s">
        <v>17</v>
      </c>
      <c r="AB24" s="102" t="s">
        <v>40</v>
      </c>
      <c r="AC24" s="103"/>
    </row>
    <row r="25" spans="2:36" x14ac:dyDescent="0.25">
      <c r="B25" s="109" t="s">
        <v>30</v>
      </c>
      <c r="C25" s="6" t="s">
        <v>18</v>
      </c>
      <c r="D25" s="107" t="s">
        <v>218</v>
      </c>
      <c r="E25" s="108"/>
      <c r="F25" s="9"/>
      <c r="H25" s="109" t="s">
        <v>30</v>
      </c>
      <c r="I25" s="6" t="s">
        <v>18</v>
      </c>
      <c r="J25" s="107" t="s">
        <v>219</v>
      </c>
      <c r="K25" s="108"/>
      <c r="N25" s="109" t="s">
        <v>30</v>
      </c>
      <c r="O25" s="6" t="s">
        <v>18</v>
      </c>
      <c r="P25" s="107" t="s">
        <v>220</v>
      </c>
      <c r="Q25" s="108"/>
      <c r="T25" s="109" t="s">
        <v>30</v>
      </c>
      <c r="U25" s="6" t="s">
        <v>18</v>
      </c>
      <c r="V25" s="107" t="s">
        <v>41</v>
      </c>
      <c r="W25" s="108"/>
      <c r="Z25" s="109" t="s">
        <v>30</v>
      </c>
      <c r="AA25" s="6" t="s">
        <v>18</v>
      </c>
      <c r="AB25" s="107" t="s">
        <v>41</v>
      </c>
      <c r="AC25" s="108"/>
    </row>
    <row r="26" spans="2:36" x14ac:dyDescent="0.25">
      <c r="B26" s="110"/>
      <c r="C26" s="2" t="s">
        <v>15</v>
      </c>
      <c r="D26" s="100">
        <v>13463285</v>
      </c>
      <c r="E26" s="101"/>
      <c r="F26" s="9"/>
      <c r="H26" s="110"/>
      <c r="I26" s="2" t="s">
        <v>15</v>
      </c>
      <c r="J26" s="100">
        <v>15714816</v>
      </c>
      <c r="K26" s="101"/>
      <c r="N26" s="110"/>
      <c r="O26" s="2" t="s">
        <v>15</v>
      </c>
      <c r="P26" s="100">
        <v>19606799</v>
      </c>
      <c r="Q26" s="101"/>
      <c r="T26" s="110"/>
      <c r="U26" s="2" t="s">
        <v>15</v>
      </c>
      <c r="V26" s="100" t="s">
        <v>38</v>
      </c>
      <c r="W26" s="101"/>
      <c r="Z26" s="110"/>
      <c r="AA26" s="2" t="s">
        <v>15</v>
      </c>
      <c r="AB26" s="100" t="s">
        <v>38</v>
      </c>
      <c r="AC26" s="101"/>
    </row>
    <row r="27" spans="2:36" x14ac:dyDescent="0.25">
      <c r="B27" s="110"/>
      <c r="C27" s="2" t="s">
        <v>16</v>
      </c>
      <c r="D27" s="100" t="s">
        <v>221</v>
      </c>
      <c r="E27" s="101"/>
      <c r="F27" s="9"/>
      <c r="H27" s="110"/>
      <c r="I27" s="2" t="s">
        <v>16</v>
      </c>
      <c r="J27" s="100" t="s">
        <v>222</v>
      </c>
      <c r="K27" s="101"/>
      <c r="N27" s="110"/>
      <c r="O27" s="2" t="s">
        <v>16</v>
      </c>
      <c r="P27" s="100" t="s">
        <v>223</v>
      </c>
      <c r="Q27" s="101"/>
      <c r="T27" s="110"/>
      <c r="U27" s="2" t="s">
        <v>16</v>
      </c>
      <c r="V27" s="100" t="s">
        <v>39</v>
      </c>
      <c r="W27" s="101"/>
      <c r="Z27" s="110"/>
      <c r="AA27" s="2" t="s">
        <v>16</v>
      </c>
      <c r="AB27" s="100" t="s">
        <v>39</v>
      </c>
      <c r="AC27" s="101"/>
    </row>
    <row r="28" spans="2:36" x14ac:dyDescent="0.25">
      <c r="B28" s="110"/>
      <c r="C28" s="2" t="s">
        <v>19</v>
      </c>
      <c r="D28" s="100" t="s">
        <v>84</v>
      </c>
      <c r="E28" s="101"/>
      <c r="F28" s="9"/>
      <c r="H28" s="110"/>
      <c r="I28" s="2" t="s">
        <v>19</v>
      </c>
      <c r="J28" s="100" t="s">
        <v>116</v>
      </c>
      <c r="K28" s="101"/>
      <c r="N28" s="110"/>
      <c r="O28" s="2" t="s">
        <v>19</v>
      </c>
      <c r="P28" s="100" t="s">
        <v>116</v>
      </c>
      <c r="Q28" s="101"/>
      <c r="T28" s="110"/>
      <c r="U28" s="2" t="s">
        <v>19</v>
      </c>
      <c r="V28" s="100" t="s">
        <v>42</v>
      </c>
      <c r="W28" s="101"/>
      <c r="Z28" s="110"/>
      <c r="AA28" s="2" t="s">
        <v>19</v>
      </c>
      <c r="AB28" s="100" t="s">
        <v>42</v>
      </c>
      <c r="AC28" s="101"/>
    </row>
    <row r="29" spans="2:36" x14ac:dyDescent="0.25">
      <c r="B29" s="110"/>
      <c r="C29" s="2" t="s">
        <v>20</v>
      </c>
      <c r="D29" s="100">
        <v>9</v>
      </c>
      <c r="E29" s="101"/>
      <c r="F29" s="9"/>
      <c r="H29" s="110"/>
      <c r="I29" s="2" t="s">
        <v>20</v>
      </c>
      <c r="J29" s="100">
        <v>20</v>
      </c>
      <c r="K29" s="101"/>
      <c r="N29" s="110"/>
      <c r="O29" s="2" t="s">
        <v>20</v>
      </c>
      <c r="P29" s="100">
        <v>16</v>
      </c>
      <c r="Q29" s="101"/>
      <c r="T29" s="110"/>
      <c r="U29" s="2" t="s">
        <v>20</v>
      </c>
      <c r="V29" s="100" t="s">
        <v>8</v>
      </c>
      <c r="W29" s="101"/>
      <c r="Z29" s="110"/>
      <c r="AA29" s="2" t="s">
        <v>20</v>
      </c>
      <c r="AB29" s="100" t="s">
        <v>8</v>
      </c>
      <c r="AC29" s="101"/>
    </row>
    <row r="30" spans="2:36" ht="15.75" thickBot="1" x14ac:dyDescent="0.3">
      <c r="B30" s="111"/>
      <c r="C30" s="3" t="s">
        <v>21</v>
      </c>
      <c r="D30" s="102">
        <v>1</v>
      </c>
      <c r="E30" s="103"/>
      <c r="F30" s="9"/>
      <c r="H30" s="111"/>
      <c r="I30" s="3" t="s">
        <v>21</v>
      </c>
      <c r="J30" s="102">
        <v>1</v>
      </c>
      <c r="K30" s="103"/>
      <c r="N30" s="111"/>
      <c r="O30" s="3" t="s">
        <v>21</v>
      </c>
      <c r="P30" s="102">
        <v>0</v>
      </c>
      <c r="Q30" s="103"/>
      <c r="T30" s="111"/>
      <c r="U30" s="3" t="s">
        <v>21</v>
      </c>
      <c r="V30" s="102" t="s">
        <v>8</v>
      </c>
      <c r="W30" s="103"/>
      <c r="Z30" s="111"/>
      <c r="AA30" s="3" t="s">
        <v>21</v>
      </c>
      <c r="AB30" s="102" t="s">
        <v>8</v>
      </c>
      <c r="AC30" s="103"/>
    </row>
    <row r="31" spans="2:36" x14ac:dyDescent="0.25">
      <c r="B31" s="104" t="s">
        <v>32</v>
      </c>
      <c r="C31" s="6" t="s">
        <v>23</v>
      </c>
      <c r="D31" s="107" t="s">
        <v>88</v>
      </c>
      <c r="E31" s="108"/>
      <c r="F31" s="9"/>
      <c r="H31" s="104" t="s">
        <v>32</v>
      </c>
      <c r="I31" s="6" t="s">
        <v>23</v>
      </c>
      <c r="J31" s="107" t="s">
        <v>87</v>
      </c>
      <c r="K31" s="108"/>
      <c r="N31" s="104" t="s">
        <v>32</v>
      </c>
      <c r="O31" s="6" t="s">
        <v>23</v>
      </c>
      <c r="P31" s="107" t="s">
        <v>87</v>
      </c>
      <c r="Q31" s="108"/>
      <c r="T31" s="104" t="s">
        <v>32</v>
      </c>
      <c r="U31" s="6" t="s">
        <v>23</v>
      </c>
      <c r="V31" s="107" t="s">
        <v>22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6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87</v>
      </c>
      <c r="K32" s="113"/>
      <c r="N32" s="105"/>
      <c r="O32" s="2" t="s">
        <v>24</v>
      </c>
      <c r="P32" s="112" t="s">
        <v>87</v>
      </c>
      <c r="Q32" s="113"/>
      <c r="T32" s="105"/>
      <c r="U32" s="2" t="s">
        <v>24</v>
      </c>
      <c r="V32" s="112" t="s">
        <v>22</v>
      </c>
      <c r="W32" s="113"/>
      <c r="Z32" s="105"/>
      <c r="AA32" s="2" t="s">
        <v>24</v>
      </c>
      <c r="AB32" s="112" t="s">
        <v>22</v>
      </c>
      <c r="AC32" s="113"/>
    </row>
    <row r="33" spans="2:36" x14ac:dyDescent="0.25">
      <c r="B33" s="105"/>
      <c r="C33" s="2" t="s">
        <v>25</v>
      </c>
      <c r="D33" s="112" t="s">
        <v>88</v>
      </c>
      <c r="E33" s="113"/>
      <c r="F33" s="9"/>
      <c r="H33" s="105"/>
      <c r="I33" s="2" t="s">
        <v>25</v>
      </c>
      <c r="J33" s="112" t="s">
        <v>87</v>
      </c>
      <c r="K33" s="113"/>
      <c r="N33" s="105"/>
      <c r="O33" s="2" t="s">
        <v>25</v>
      </c>
      <c r="P33" s="112" t="s">
        <v>87</v>
      </c>
      <c r="Q33" s="113"/>
      <c r="T33" s="105"/>
      <c r="U33" s="2" t="s">
        <v>25</v>
      </c>
      <c r="V33" s="112" t="s">
        <v>22</v>
      </c>
      <c r="W33" s="113"/>
      <c r="Z33" s="105"/>
      <c r="AA33" s="2" t="s">
        <v>25</v>
      </c>
      <c r="AB33" s="112" t="s">
        <v>22</v>
      </c>
      <c r="AC33" s="113"/>
    </row>
    <row r="34" spans="2:36" ht="15.75" thickBot="1" x14ac:dyDescent="0.3">
      <c r="B34" s="105"/>
      <c r="C34" s="7" t="s">
        <v>26</v>
      </c>
      <c r="D34" s="114" t="s">
        <v>88</v>
      </c>
      <c r="E34" s="115"/>
      <c r="F34" s="9"/>
      <c r="H34" s="105"/>
      <c r="I34" s="7" t="s">
        <v>26</v>
      </c>
      <c r="J34" s="114" t="s">
        <v>88</v>
      </c>
      <c r="K34" s="115"/>
      <c r="N34" s="105"/>
      <c r="O34" s="7" t="s">
        <v>26</v>
      </c>
      <c r="P34" s="114" t="s">
        <v>88</v>
      </c>
      <c r="Q34" s="115"/>
      <c r="T34" s="105"/>
      <c r="U34" s="7" t="s">
        <v>26</v>
      </c>
      <c r="V34" s="114" t="s">
        <v>22</v>
      </c>
      <c r="W34" s="115"/>
      <c r="Z34" s="105"/>
      <c r="AA34" s="7" t="s">
        <v>26</v>
      </c>
      <c r="AB34" s="114" t="s">
        <v>22</v>
      </c>
      <c r="AC34" s="115"/>
    </row>
    <row r="35" spans="2:36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  <c r="AF35" s="21"/>
    </row>
    <row r="36" spans="2:36" x14ac:dyDescent="0.25">
      <c r="B36" s="110"/>
      <c r="C36" s="119" t="s">
        <v>224</v>
      </c>
      <c r="D36" s="120"/>
      <c r="E36" s="120"/>
      <c r="F36" s="121"/>
      <c r="H36" s="110"/>
      <c r="I36" s="119" t="s">
        <v>43</v>
      </c>
      <c r="J36" s="120"/>
      <c r="K36" s="120"/>
      <c r="L36" s="121"/>
      <c r="N36" s="110"/>
      <c r="O36" s="119" t="s">
        <v>225</v>
      </c>
      <c r="P36" s="120"/>
      <c r="Q36" s="120"/>
      <c r="R36" s="121"/>
      <c r="T36" s="110"/>
      <c r="U36" s="119" t="s">
        <v>43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  <c r="AF36" s="22"/>
    </row>
    <row r="37" spans="2:36" x14ac:dyDescent="0.25">
      <c r="B37" s="110"/>
      <c r="C37" s="122" t="s">
        <v>226</v>
      </c>
      <c r="D37" s="123"/>
      <c r="E37" s="123"/>
      <c r="F37" s="124"/>
      <c r="H37" s="110"/>
      <c r="I37" s="122" t="s">
        <v>43</v>
      </c>
      <c r="J37" s="123"/>
      <c r="K37" s="123"/>
      <c r="L37" s="124"/>
      <c r="N37" s="110"/>
      <c r="O37" s="122" t="s">
        <v>227</v>
      </c>
      <c r="P37" s="123"/>
      <c r="Q37" s="123"/>
      <c r="R37" s="124"/>
      <c r="T37" s="110"/>
      <c r="U37" s="122" t="s">
        <v>43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  <c r="AF37" s="22"/>
    </row>
    <row r="38" spans="2:36" x14ac:dyDescent="0.25">
      <c r="B38" s="110"/>
      <c r="C38" s="122" t="s">
        <v>228</v>
      </c>
      <c r="D38" s="123"/>
      <c r="E38" s="123"/>
      <c r="F38" s="124"/>
      <c r="H38" s="110"/>
      <c r="I38" s="122" t="s">
        <v>43</v>
      </c>
      <c r="J38" s="123"/>
      <c r="K38" s="123"/>
      <c r="L38" s="124"/>
      <c r="N38" s="110"/>
      <c r="O38" s="122" t="s">
        <v>229</v>
      </c>
      <c r="P38" s="123"/>
      <c r="Q38" s="123"/>
      <c r="R38" s="124"/>
      <c r="T38" s="110"/>
      <c r="U38" s="122" t="s">
        <v>43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  <c r="AF38" s="22"/>
    </row>
    <row r="39" spans="2:36" ht="15.75" thickBot="1" x14ac:dyDescent="0.3">
      <c r="B39" s="111"/>
      <c r="C39" s="125" t="s">
        <v>43</v>
      </c>
      <c r="D39" s="126"/>
      <c r="E39" s="126"/>
      <c r="F39" s="127"/>
      <c r="H39" s="111"/>
      <c r="I39" s="125" t="s">
        <v>43</v>
      </c>
      <c r="J39" s="126"/>
      <c r="K39" s="126"/>
      <c r="L39" s="127"/>
      <c r="N39" s="111"/>
      <c r="O39" s="125" t="s">
        <v>43</v>
      </c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  <c r="AF39" s="22"/>
    </row>
    <row r="40" spans="2:36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G40" s="18"/>
      <c r="AJ40" s="60"/>
    </row>
    <row r="41" spans="2:36" s="9" customFormat="1" x14ac:dyDescent="0.25">
      <c r="B41" s="10"/>
      <c r="C41" s="13" t="s">
        <v>44</v>
      </c>
      <c r="D41" s="130" t="s">
        <v>230</v>
      </c>
      <c r="E41" s="131"/>
      <c r="F41" s="132"/>
      <c r="H41" s="10"/>
      <c r="I41" s="13" t="s">
        <v>44</v>
      </c>
      <c r="J41" s="130" t="s">
        <v>230</v>
      </c>
      <c r="K41" s="131"/>
      <c r="L41" s="132"/>
      <c r="N41" s="10"/>
      <c r="O41" s="13" t="s">
        <v>44</v>
      </c>
      <c r="P41" s="130" t="s">
        <v>230</v>
      </c>
      <c r="Q41" s="131"/>
      <c r="R41" s="132"/>
      <c r="T41" s="10"/>
      <c r="U41" s="13" t="s">
        <v>44</v>
      </c>
      <c r="V41" s="130" t="s">
        <v>47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23"/>
      <c r="AG41" s="18"/>
      <c r="AJ41" s="60"/>
    </row>
    <row r="42" spans="2:36" s="9" customFormat="1" ht="15.75" thickBot="1" x14ac:dyDescent="0.3">
      <c r="B42" s="10"/>
      <c r="C42" s="14" t="s">
        <v>45</v>
      </c>
      <c r="D42" s="128" t="s">
        <v>231</v>
      </c>
      <c r="E42" s="128"/>
      <c r="F42" s="129"/>
      <c r="H42" s="10"/>
      <c r="I42" s="14" t="s">
        <v>45</v>
      </c>
      <c r="J42" s="128" t="s">
        <v>231</v>
      </c>
      <c r="K42" s="128"/>
      <c r="L42" s="129"/>
      <c r="N42" s="10"/>
      <c r="O42" s="14" t="s">
        <v>45</v>
      </c>
      <c r="P42" s="128" t="s">
        <v>231</v>
      </c>
      <c r="Q42" s="128"/>
      <c r="R42" s="129"/>
      <c r="T42" s="10"/>
      <c r="U42" s="14" t="s">
        <v>45</v>
      </c>
      <c r="V42" s="128" t="s">
        <v>46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23"/>
      <c r="AG42" s="18"/>
      <c r="AJ42" s="60"/>
    </row>
    <row r="43" spans="2:36" s="9" customFormat="1" x14ac:dyDescent="0.25">
      <c r="B43" s="10"/>
      <c r="D43" s="11"/>
      <c r="AG43" s="18"/>
      <c r="AJ43" s="60"/>
    </row>
    <row r="44" spans="2:36" s="9" customFormat="1" x14ac:dyDescent="0.25">
      <c r="B44" s="10"/>
      <c r="D44" s="11"/>
      <c r="AG44" s="18"/>
      <c r="AJ44" s="60"/>
    </row>
    <row r="45" spans="2:36" s="9" customFormat="1" x14ac:dyDescent="0.25">
      <c r="B45" s="10"/>
      <c r="D45" s="11"/>
      <c r="AG45" s="18"/>
      <c r="AJ45" s="60"/>
    </row>
    <row r="46" spans="2:36" s="9" customFormat="1" x14ac:dyDescent="0.25">
      <c r="B46" s="10"/>
      <c r="D46" s="11"/>
      <c r="AG46" s="18"/>
      <c r="AJ46" s="60"/>
    </row>
    <row r="47" spans="2:36" s="9" customFormat="1" x14ac:dyDescent="0.25">
      <c r="B47" s="10"/>
      <c r="D47" s="11"/>
      <c r="AG47" s="18"/>
      <c r="AJ47" s="60"/>
    </row>
    <row r="48" spans="2:36" s="9" customFormat="1" x14ac:dyDescent="0.25">
      <c r="B48" s="10"/>
      <c r="D48" s="11"/>
      <c r="AG48" s="18"/>
      <c r="AJ48" s="60"/>
    </row>
    <row r="49" spans="2:36" s="9" customFormat="1" x14ac:dyDescent="0.25">
      <c r="B49" s="10"/>
      <c r="D49" s="11"/>
      <c r="AG49" s="18"/>
      <c r="AJ49" s="60"/>
    </row>
    <row r="50" spans="2:36" s="9" customFormat="1" x14ac:dyDescent="0.25">
      <c r="B50" s="10"/>
      <c r="D50" s="11"/>
      <c r="AG50" s="18"/>
      <c r="AJ50" s="60"/>
    </row>
    <row r="51" spans="2:36" s="9" customFormat="1" x14ac:dyDescent="0.25">
      <c r="B51" s="10"/>
      <c r="D51" s="11"/>
      <c r="AG51" s="18"/>
      <c r="AJ51" s="60"/>
    </row>
    <row r="52" spans="2:36" s="9" customFormat="1" x14ac:dyDescent="0.25">
      <c r="B52" s="10"/>
      <c r="D52" s="11"/>
      <c r="AG52" s="18"/>
      <c r="AJ52" s="60"/>
    </row>
    <row r="53" spans="2:36" s="9" customFormat="1" x14ac:dyDescent="0.25">
      <c r="B53" s="10"/>
      <c r="D53" s="11"/>
      <c r="AG53" s="18"/>
      <c r="AJ53" s="60"/>
    </row>
    <row r="54" spans="2:36" s="9" customFormat="1" x14ac:dyDescent="0.25">
      <c r="B54" s="10"/>
      <c r="D54" s="11"/>
      <c r="AG54" s="18"/>
      <c r="AJ54" s="60"/>
    </row>
    <row r="55" spans="2:36" s="9" customFormat="1" x14ac:dyDescent="0.25">
      <c r="B55" s="10"/>
      <c r="D55" s="11"/>
      <c r="AG55" s="18"/>
      <c r="AJ55" s="60"/>
    </row>
    <row r="56" spans="2:36" s="9" customFormat="1" x14ac:dyDescent="0.25">
      <c r="B56" s="10"/>
      <c r="D56" s="11"/>
      <c r="AG56" s="18"/>
      <c r="AJ56" s="60"/>
    </row>
    <row r="57" spans="2:36" s="9" customFormat="1" x14ac:dyDescent="0.25">
      <c r="B57" s="10"/>
      <c r="D57" s="11"/>
      <c r="AG57" s="18"/>
      <c r="AJ57" s="60"/>
    </row>
    <row r="58" spans="2:36" s="9" customFormat="1" x14ac:dyDescent="0.25">
      <c r="B58" s="10"/>
      <c r="D58" s="11"/>
      <c r="AG58" s="18"/>
      <c r="AJ58" s="60"/>
    </row>
    <row r="59" spans="2:36" s="9" customFormat="1" x14ac:dyDescent="0.25">
      <c r="B59" s="10"/>
      <c r="D59" s="11"/>
      <c r="AG59" s="18"/>
      <c r="AJ59" s="60"/>
    </row>
    <row r="60" spans="2:36" s="9" customFormat="1" x14ac:dyDescent="0.25">
      <c r="B60" s="10"/>
      <c r="D60" s="11"/>
      <c r="AG60" s="18"/>
      <c r="AJ60" s="60"/>
    </row>
    <row r="61" spans="2:36" s="9" customFormat="1" x14ac:dyDescent="0.25">
      <c r="B61" s="10"/>
      <c r="D61" s="11"/>
      <c r="AG61" s="18"/>
      <c r="AJ61" s="60"/>
    </row>
    <row r="62" spans="2:36" s="9" customFormat="1" x14ac:dyDescent="0.25">
      <c r="B62" s="10"/>
      <c r="D62" s="11"/>
      <c r="AG62" s="18"/>
      <c r="AJ62" s="60"/>
    </row>
    <row r="63" spans="2:36" s="9" customFormat="1" x14ac:dyDescent="0.25">
      <c r="B63" s="10"/>
      <c r="D63" s="11"/>
      <c r="AG63" s="18"/>
      <c r="AJ63" s="60"/>
    </row>
    <row r="64" spans="2:36" s="9" customFormat="1" x14ac:dyDescent="0.25">
      <c r="B64" s="10"/>
      <c r="D64" s="11"/>
      <c r="AG64" s="18"/>
      <c r="AJ64" s="60"/>
    </row>
    <row r="65" spans="2:36" s="9" customFormat="1" x14ac:dyDescent="0.25">
      <c r="B65" s="10"/>
      <c r="D65" s="11"/>
      <c r="AG65" s="18"/>
      <c r="AJ65" s="60"/>
    </row>
    <row r="66" spans="2:36" s="9" customFormat="1" x14ac:dyDescent="0.25">
      <c r="B66" s="10"/>
      <c r="D66" s="11"/>
      <c r="AG66" s="18"/>
      <c r="AJ66" s="60"/>
    </row>
    <row r="67" spans="2:36" s="9" customFormat="1" x14ac:dyDescent="0.25">
      <c r="B67" s="10"/>
      <c r="D67" s="11"/>
      <c r="AG67" s="18"/>
      <c r="AJ67" s="60"/>
    </row>
    <row r="68" spans="2:36" s="9" customFormat="1" x14ac:dyDescent="0.25">
      <c r="B68" s="10"/>
      <c r="D68" s="11"/>
      <c r="AG68" s="18"/>
      <c r="AJ68" s="60"/>
    </row>
    <row r="69" spans="2:36" s="9" customFormat="1" x14ac:dyDescent="0.25">
      <c r="B69" s="10"/>
      <c r="D69" s="11"/>
      <c r="AG69" s="18"/>
      <c r="AJ69" s="60"/>
    </row>
    <row r="70" spans="2:36" s="9" customFormat="1" x14ac:dyDescent="0.25">
      <c r="B70" s="10"/>
      <c r="D70" s="11"/>
      <c r="AG70" s="18"/>
      <c r="AJ70" s="60"/>
    </row>
    <row r="71" spans="2:36" s="9" customFormat="1" x14ac:dyDescent="0.25">
      <c r="B71" s="10"/>
      <c r="D71" s="11"/>
      <c r="AG71" s="18"/>
      <c r="AJ71" s="60"/>
    </row>
    <row r="72" spans="2:36" s="9" customFormat="1" x14ac:dyDescent="0.25">
      <c r="B72" s="10"/>
      <c r="D72" s="11"/>
      <c r="AG72" s="18"/>
      <c r="AJ72" s="60"/>
    </row>
    <row r="73" spans="2:36" s="9" customFormat="1" x14ac:dyDescent="0.25">
      <c r="B73" s="10"/>
      <c r="D73" s="11"/>
      <c r="AG73" s="18"/>
      <c r="AJ73" s="60"/>
    </row>
    <row r="74" spans="2:36" s="9" customFormat="1" x14ac:dyDescent="0.25">
      <c r="B74" s="10"/>
      <c r="D74" s="11"/>
      <c r="AG74" s="18"/>
      <c r="AJ74" s="60"/>
    </row>
    <row r="75" spans="2:36" s="9" customFormat="1" x14ac:dyDescent="0.25">
      <c r="B75" s="10"/>
      <c r="D75" s="11"/>
      <c r="AG75" s="18"/>
      <c r="AJ75" s="60"/>
    </row>
    <row r="76" spans="2:36" s="9" customFormat="1" x14ac:dyDescent="0.25">
      <c r="B76" s="10"/>
      <c r="D76" s="11"/>
      <c r="AG76" s="18"/>
      <c r="AJ76" s="60"/>
    </row>
    <row r="77" spans="2:36" s="9" customFormat="1" x14ac:dyDescent="0.25">
      <c r="B77" s="10"/>
      <c r="D77" s="11"/>
      <c r="AG77" s="18"/>
      <c r="AJ77" s="60"/>
    </row>
    <row r="78" spans="2:36" s="9" customFormat="1" x14ac:dyDescent="0.25">
      <c r="B78" s="10"/>
      <c r="D78" s="11"/>
      <c r="AG78" s="18"/>
      <c r="AJ78" s="60"/>
    </row>
    <row r="79" spans="2:36" s="9" customFormat="1" x14ac:dyDescent="0.25">
      <c r="B79" s="10"/>
      <c r="D79" s="11"/>
      <c r="AG79" s="18"/>
      <c r="AJ79" s="60"/>
    </row>
    <row r="80" spans="2:36" s="9" customFormat="1" x14ac:dyDescent="0.25">
      <c r="B80" s="10"/>
      <c r="D80" s="11"/>
      <c r="AG80" s="18"/>
      <c r="AJ80" s="60"/>
    </row>
    <row r="81" spans="2:36" s="9" customFormat="1" x14ac:dyDescent="0.25">
      <c r="B81" s="10"/>
      <c r="D81" s="11"/>
      <c r="AG81" s="18"/>
      <c r="AJ81" s="60"/>
    </row>
    <row r="82" spans="2:36" s="9" customFormat="1" x14ac:dyDescent="0.25">
      <c r="B82" s="10"/>
      <c r="D82" s="11"/>
      <c r="AG82" s="18"/>
      <c r="AJ82" s="60"/>
    </row>
    <row r="83" spans="2:36" s="9" customFormat="1" x14ac:dyDescent="0.25">
      <c r="B83" s="10"/>
      <c r="D83" s="11"/>
      <c r="AG83" s="18"/>
      <c r="AJ83" s="60"/>
    </row>
    <row r="84" spans="2:36" s="9" customFormat="1" x14ac:dyDescent="0.25">
      <c r="B84" s="10"/>
      <c r="D84" s="11"/>
      <c r="AG84" s="18"/>
      <c r="AJ84" s="60"/>
    </row>
    <row r="85" spans="2:36" s="9" customFormat="1" x14ac:dyDescent="0.25">
      <c r="B85" s="10"/>
      <c r="D85" s="11"/>
      <c r="AG85" s="18"/>
      <c r="AJ85" s="60"/>
    </row>
    <row r="86" spans="2:36" s="9" customFormat="1" x14ac:dyDescent="0.25">
      <c r="B86" s="10"/>
      <c r="D86" s="11"/>
      <c r="AG86" s="18"/>
      <c r="AJ86" s="60"/>
    </row>
    <row r="87" spans="2:36" s="9" customFormat="1" x14ac:dyDescent="0.25">
      <c r="B87" s="10"/>
      <c r="D87" s="11"/>
      <c r="AG87" s="18"/>
      <c r="AJ87" s="60"/>
    </row>
    <row r="88" spans="2:36" s="9" customFormat="1" x14ac:dyDescent="0.25">
      <c r="B88" s="10"/>
      <c r="D88" s="11"/>
      <c r="AG88" s="18"/>
      <c r="AJ88" s="60"/>
    </row>
    <row r="89" spans="2:36" s="9" customFormat="1" x14ac:dyDescent="0.25">
      <c r="B89" s="10"/>
      <c r="D89" s="11"/>
      <c r="AG89" s="18"/>
      <c r="AJ89" s="60"/>
    </row>
    <row r="90" spans="2:36" s="9" customFormat="1" x14ac:dyDescent="0.25">
      <c r="B90" s="10"/>
      <c r="D90" s="11"/>
      <c r="AG90" s="18"/>
      <c r="AJ90" s="60"/>
    </row>
    <row r="91" spans="2:36" s="9" customFormat="1" x14ac:dyDescent="0.25">
      <c r="B91" s="10"/>
      <c r="D91" s="11"/>
      <c r="AG91" s="18"/>
      <c r="AJ91" s="60"/>
    </row>
    <row r="92" spans="2:36" s="9" customFormat="1" x14ac:dyDescent="0.25">
      <c r="B92" s="10"/>
      <c r="D92" s="11"/>
      <c r="AG92" s="18"/>
      <c r="AJ92" s="60"/>
    </row>
    <row r="93" spans="2:36" s="9" customFormat="1" x14ac:dyDescent="0.25">
      <c r="B93" s="10"/>
      <c r="D93" s="11"/>
      <c r="AG93" s="18"/>
      <c r="AJ93" s="60"/>
    </row>
    <row r="94" spans="2:36" s="9" customFormat="1" x14ac:dyDescent="0.25">
      <c r="B94" s="10"/>
      <c r="D94" s="11"/>
      <c r="AG94" s="18"/>
      <c r="AJ94" s="60"/>
    </row>
    <row r="95" spans="2:36" s="9" customFormat="1" x14ac:dyDescent="0.25">
      <c r="B95" s="10"/>
      <c r="D95" s="11"/>
      <c r="AG95" s="18"/>
      <c r="AJ95" s="60"/>
    </row>
    <row r="96" spans="2:36" s="9" customFormat="1" x14ac:dyDescent="0.25">
      <c r="B96" s="10"/>
      <c r="D96" s="11"/>
      <c r="AG96" s="18"/>
      <c r="AJ96" s="60"/>
    </row>
    <row r="97" spans="2:36" s="9" customFormat="1" x14ac:dyDescent="0.25">
      <c r="B97" s="10"/>
      <c r="D97" s="11"/>
      <c r="AG97" s="18"/>
      <c r="AJ97" s="60"/>
    </row>
    <row r="98" spans="2:36" s="9" customFormat="1" x14ac:dyDescent="0.25">
      <c r="B98" s="10"/>
      <c r="D98" s="11"/>
      <c r="AG98" s="18"/>
      <c r="AJ98" s="60"/>
    </row>
    <row r="99" spans="2:36" s="9" customFormat="1" x14ac:dyDescent="0.25">
      <c r="B99" s="10"/>
      <c r="D99" s="11"/>
      <c r="AG99" s="18"/>
      <c r="AJ99" s="60"/>
    </row>
    <row r="100" spans="2:36" s="9" customFormat="1" x14ac:dyDescent="0.25">
      <c r="B100" s="10"/>
      <c r="D100" s="11"/>
      <c r="AG100" s="18"/>
      <c r="AJ100" s="60"/>
    </row>
    <row r="101" spans="2:36" s="9" customFormat="1" x14ac:dyDescent="0.25">
      <c r="B101" s="10"/>
      <c r="D101" s="11"/>
      <c r="AG101" s="18"/>
      <c r="AJ101" s="60"/>
    </row>
    <row r="102" spans="2:36" s="9" customFormat="1" x14ac:dyDescent="0.25">
      <c r="B102" s="10"/>
      <c r="D102" s="11"/>
      <c r="AG102" s="18"/>
      <c r="AJ102" s="60"/>
    </row>
    <row r="103" spans="2:36" s="9" customFormat="1" x14ac:dyDescent="0.25">
      <c r="B103" s="10"/>
      <c r="D103" s="11"/>
      <c r="AG103" s="18"/>
      <c r="AJ103" s="60"/>
    </row>
    <row r="104" spans="2:36" s="9" customFormat="1" x14ac:dyDescent="0.25">
      <c r="B104" s="10"/>
      <c r="D104" s="11"/>
      <c r="AG104" s="18"/>
      <c r="AJ104" s="60"/>
    </row>
    <row r="105" spans="2:36" s="9" customFormat="1" x14ac:dyDescent="0.25">
      <c r="B105" s="10"/>
      <c r="D105" s="11"/>
      <c r="AG105" s="18"/>
      <c r="AJ105" s="60"/>
    </row>
    <row r="106" spans="2:36" s="9" customFormat="1" x14ac:dyDescent="0.25">
      <c r="B106" s="10"/>
      <c r="D106" s="11"/>
      <c r="AG106" s="18"/>
      <c r="AJ106" s="60"/>
    </row>
    <row r="107" spans="2:36" s="9" customFormat="1" x14ac:dyDescent="0.25">
      <c r="B107" s="10"/>
      <c r="D107" s="11"/>
      <c r="AG107" s="18"/>
      <c r="AJ107" s="60"/>
    </row>
    <row r="108" spans="2:36" s="9" customFormat="1" x14ac:dyDescent="0.25">
      <c r="B108" s="10"/>
      <c r="D108" s="11"/>
      <c r="AG108" s="18"/>
      <c r="AJ108" s="60"/>
    </row>
    <row r="109" spans="2:36" s="9" customFormat="1" x14ac:dyDescent="0.25">
      <c r="B109" s="10"/>
      <c r="D109" s="11"/>
      <c r="AG109" s="18"/>
      <c r="AJ109" s="60"/>
    </row>
    <row r="110" spans="2:36" s="9" customFormat="1" x14ac:dyDescent="0.25">
      <c r="B110" s="10"/>
      <c r="D110" s="11"/>
      <c r="AG110" s="18"/>
      <c r="AJ110" s="60"/>
    </row>
    <row r="111" spans="2:36" s="9" customFormat="1" x14ac:dyDescent="0.25">
      <c r="B111" s="10"/>
      <c r="D111" s="11"/>
      <c r="AG111" s="18"/>
      <c r="AJ111" s="60"/>
    </row>
    <row r="112" spans="2:36" s="9" customFormat="1" x14ac:dyDescent="0.25">
      <c r="B112" s="10"/>
      <c r="D112" s="11"/>
      <c r="AG112" s="18"/>
      <c r="AJ112" s="60"/>
    </row>
    <row r="113" spans="2:36" s="9" customFormat="1" x14ac:dyDescent="0.25">
      <c r="B113" s="10"/>
      <c r="D113" s="11"/>
      <c r="AG113" s="18"/>
      <c r="AJ113" s="60"/>
    </row>
    <row r="114" spans="2:36" s="9" customFormat="1" x14ac:dyDescent="0.25">
      <c r="B114" s="10"/>
      <c r="D114" s="11"/>
      <c r="AG114" s="18"/>
      <c r="AJ114" s="60"/>
    </row>
    <row r="115" spans="2:36" s="9" customFormat="1" x14ac:dyDescent="0.25">
      <c r="B115" s="10"/>
      <c r="D115" s="11"/>
      <c r="AG115" s="18"/>
      <c r="AJ115" s="60"/>
    </row>
    <row r="116" spans="2:36" s="9" customFormat="1" x14ac:dyDescent="0.25">
      <c r="B116" s="10"/>
      <c r="D116" s="11"/>
      <c r="AG116" s="18"/>
      <c r="AJ116" s="60"/>
    </row>
    <row r="117" spans="2:36" s="9" customFormat="1" x14ac:dyDescent="0.25">
      <c r="B117" s="10"/>
      <c r="D117" s="11"/>
      <c r="AG117" s="18"/>
      <c r="AJ117" s="60"/>
    </row>
    <row r="118" spans="2:36" s="9" customFormat="1" x14ac:dyDescent="0.25">
      <c r="B118" s="10"/>
      <c r="D118" s="11"/>
      <c r="AG118" s="18"/>
      <c r="AJ118" s="60"/>
    </row>
    <row r="119" spans="2:36" s="9" customFormat="1" x14ac:dyDescent="0.25">
      <c r="B119" s="10"/>
      <c r="D119" s="11"/>
      <c r="AG119" s="18"/>
      <c r="AJ119" s="60"/>
    </row>
    <row r="120" spans="2:36" s="9" customFormat="1" x14ac:dyDescent="0.25">
      <c r="B120" s="10"/>
      <c r="D120" s="11"/>
      <c r="AG120" s="18"/>
      <c r="AJ120" s="60"/>
    </row>
    <row r="121" spans="2:36" s="9" customFormat="1" x14ac:dyDescent="0.25">
      <c r="B121" s="10"/>
      <c r="D121" s="11"/>
      <c r="AG121" s="18"/>
      <c r="AJ121" s="60"/>
    </row>
    <row r="122" spans="2:36" s="9" customFormat="1" x14ac:dyDescent="0.25">
      <c r="B122" s="10"/>
      <c r="D122" s="11"/>
      <c r="AG122" s="18"/>
      <c r="AJ122" s="60"/>
    </row>
    <row r="123" spans="2:36" s="9" customFormat="1" x14ac:dyDescent="0.25">
      <c r="B123" s="10"/>
      <c r="D123" s="11"/>
      <c r="AG123" s="18"/>
      <c r="AJ123" s="60"/>
    </row>
    <row r="124" spans="2:36" s="9" customFormat="1" x14ac:dyDescent="0.25">
      <c r="B124" s="10"/>
      <c r="D124" s="11"/>
      <c r="AG124" s="18"/>
      <c r="AJ124" s="60"/>
    </row>
    <row r="125" spans="2:36" s="9" customFormat="1" x14ac:dyDescent="0.25">
      <c r="B125" s="10"/>
      <c r="D125" s="11"/>
      <c r="AG125" s="18"/>
      <c r="AJ125" s="60"/>
    </row>
    <row r="126" spans="2:36" s="9" customFormat="1" x14ac:dyDescent="0.25">
      <c r="B126" s="10"/>
      <c r="D126" s="11"/>
      <c r="AG126" s="18"/>
      <c r="AJ126" s="60"/>
    </row>
    <row r="127" spans="2:36" s="9" customFormat="1" x14ac:dyDescent="0.25">
      <c r="B127" s="10"/>
      <c r="D127" s="11"/>
      <c r="AG127" s="18"/>
      <c r="AJ127" s="60"/>
    </row>
    <row r="128" spans="2:36" s="9" customFormat="1" x14ac:dyDescent="0.25">
      <c r="B128" s="10"/>
      <c r="D128" s="11"/>
      <c r="AG128" s="18"/>
      <c r="AJ128" s="60"/>
    </row>
    <row r="129" spans="2:36" s="9" customFormat="1" x14ac:dyDescent="0.25">
      <c r="B129" s="10"/>
      <c r="D129" s="11"/>
      <c r="AG129" s="18"/>
      <c r="AJ129" s="60"/>
    </row>
    <row r="130" spans="2:36" s="9" customFormat="1" x14ac:dyDescent="0.25">
      <c r="B130" s="10"/>
      <c r="D130" s="11"/>
      <c r="AG130" s="18"/>
      <c r="AJ130" s="60"/>
    </row>
    <row r="131" spans="2:36" s="9" customFormat="1" x14ac:dyDescent="0.25">
      <c r="B131" s="10"/>
      <c r="D131" s="11"/>
      <c r="AG131" s="18"/>
      <c r="AJ131" s="60"/>
    </row>
    <row r="132" spans="2:36" s="9" customFormat="1" x14ac:dyDescent="0.25">
      <c r="B132" s="10"/>
      <c r="D132" s="11"/>
      <c r="AG132" s="18"/>
      <c r="AJ132" s="60"/>
    </row>
    <row r="133" spans="2:36" s="9" customFormat="1" x14ac:dyDescent="0.25">
      <c r="B133" s="10"/>
      <c r="D133" s="11"/>
      <c r="AG133" s="18"/>
      <c r="AJ133" s="60"/>
    </row>
    <row r="134" spans="2:36" s="9" customFormat="1" x14ac:dyDescent="0.25">
      <c r="B134" s="10"/>
      <c r="D134" s="11"/>
      <c r="AG134" s="18"/>
      <c r="AJ134" s="60"/>
    </row>
    <row r="135" spans="2:36" s="9" customFormat="1" x14ac:dyDescent="0.25">
      <c r="B135" s="10"/>
      <c r="D135" s="11"/>
      <c r="AG135" s="18"/>
      <c r="AJ135" s="60"/>
    </row>
    <row r="136" spans="2:36" s="9" customFormat="1" x14ac:dyDescent="0.25">
      <c r="B136" s="10"/>
      <c r="D136" s="11"/>
      <c r="AG136" s="18"/>
      <c r="AJ136" s="60"/>
    </row>
    <row r="137" spans="2:36" s="9" customFormat="1" x14ac:dyDescent="0.25">
      <c r="B137" s="10"/>
      <c r="D137" s="11"/>
      <c r="AG137" s="18"/>
      <c r="AJ137" s="60"/>
    </row>
    <row r="138" spans="2:36" s="9" customFormat="1" x14ac:dyDescent="0.25">
      <c r="B138" s="10"/>
      <c r="D138" s="11"/>
      <c r="AG138" s="18"/>
      <c r="AJ138" s="60"/>
    </row>
    <row r="139" spans="2:36" s="9" customFormat="1" x14ac:dyDescent="0.25">
      <c r="B139" s="10"/>
      <c r="D139" s="11"/>
      <c r="AG139" s="18"/>
      <c r="AJ139" s="60"/>
    </row>
    <row r="140" spans="2:36" s="9" customFormat="1" x14ac:dyDescent="0.25">
      <c r="B140" s="10"/>
      <c r="D140" s="11"/>
      <c r="AG140" s="18"/>
      <c r="AJ140" s="60"/>
    </row>
    <row r="141" spans="2:36" s="9" customFormat="1" x14ac:dyDescent="0.25">
      <c r="B141" s="10"/>
      <c r="D141" s="11"/>
      <c r="AG141" s="18"/>
      <c r="AJ141" s="60"/>
    </row>
    <row r="142" spans="2:36" s="9" customFormat="1" x14ac:dyDescent="0.25">
      <c r="B142" s="10"/>
      <c r="D142" s="11"/>
      <c r="AG142" s="18"/>
      <c r="AJ142" s="60"/>
    </row>
    <row r="143" spans="2:36" s="9" customFormat="1" x14ac:dyDescent="0.25">
      <c r="B143" s="10"/>
      <c r="D143" s="11"/>
      <c r="AG143" s="18"/>
      <c r="AJ143" s="60"/>
    </row>
    <row r="144" spans="2:36" s="9" customFormat="1" x14ac:dyDescent="0.25">
      <c r="B144" s="10"/>
      <c r="D144" s="11"/>
      <c r="AG144" s="18"/>
      <c r="AJ144" s="60"/>
    </row>
    <row r="145" spans="2:36" s="9" customFormat="1" x14ac:dyDescent="0.25">
      <c r="B145" s="10"/>
      <c r="D145" s="11"/>
      <c r="AG145" s="18"/>
      <c r="AJ145" s="60"/>
    </row>
    <row r="146" spans="2:36" s="9" customFormat="1" x14ac:dyDescent="0.25">
      <c r="B146" s="10"/>
      <c r="D146" s="11"/>
      <c r="AG146" s="18"/>
      <c r="AJ146" s="60"/>
    </row>
    <row r="147" spans="2:36" s="9" customFormat="1" x14ac:dyDescent="0.25">
      <c r="B147" s="10"/>
      <c r="D147" s="11"/>
      <c r="AG147" s="18"/>
      <c r="AJ147" s="60"/>
    </row>
    <row r="148" spans="2:36" s="9" customFormat="1" x14ac:dyDescent="0.25">
      <c r="B148" s="10"/>
      <c r="D148" s="11"/>
      <c r="AG148" s="18"/>
      <c r="AJ148" s="60"/>
    </row>
    <row r="149" spans="2:36" s="9" customFormat="1" x14ac:dyDescent="0.25">
      <c r="B149" s="10"/>
      <c r="D149" s="11"/>
      <c r="AG149" s="18"/>
      <c r="AJ149" s="60"/>
    </row>
    <row r="150" spans="2:36" s="9" customFormat="1" x14ac:dyDescent="0.25">
      <c r="B150" s="10"/>
      <c r="D150" s="11"/>
      <c r="AG150" s="18"/>
      <c r="AJ150" s="60"/>
    </row>
    <row r="151" spans="2:36" s="9" customFormat="1" x14ac:dyDescent="0.25">
      <c r="B151" s="10"/>
      <c r="D151" s="11"/>
      <c r="AG151" s="18"/>
      <c r="AJ151" s="60"/>
    </row>
    <row r="152" spans="2:36" s="9" customFormat="1" x14ac:dyDescent="0.25">
      <c r="B152" s="10"/>
      <c r="D152" s="11"/>
      <c r="AG152" s="18"/>
      <c r="AJ152" s="60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I2:AJ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883C-7967-4415-97B7-50FB167CAB15}">
  <sheetPr>
    <tabColor theme="5"/>
  </sheetPr>
  <dimension ref="A1:BI152"/>
  <sheetViews>
    <sheetView zoomScale="115" zoomScaleNormal="115" workbookViewId="0">
      <selection activeCell="AI28" sqref="AI28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11.42578125" style="9"/>
    <col min="15" max="15" width="21.85546875" style="9" customWidth="1"/>
    <col min="16" max="16" width="7.42578125" style="9" customWidth="1"/>
    <col min="17" max="18" width="11.42578125" style="9" customWidth="1"/>
    <col min="19" max="19" width="4" style="9" customWidth="1"/>
    <col min="20" max="20" width="11.42578125" style="9"/>
    <col min="21" max="21" width="21.85546875" style="9" customWidth="1"/>
    <col min="22" max="22" width="7.42578125" style="9" customWidth="1"/>
    <col min="23" max="24" width="11.42578125" style="9" customWidth="1"/>
    <col min="25" max="25" width="4.5703125" style="9" customWidth="1"/>
    <col min="26" max="26" width="11.42578125" style="9" hidden="1" customWidth="1"/>
    <col min="27" max="27" width="21.85546875" style="9" hidden="1" customWidth="1"/>
    <col min="28" max="31" width="11.42578125" style="9" hidden="1" customWidth="1"/>
    <col min="32" max="32" width="3.42578125" style="9" customWidth="1"/>
    <col min="33" max="33" width="0.85546875" style="18" customWidth="1"/>
    <col min="34" max="34" width="11.42578125" style="9"/>
    <col min="35" max="35" width="24" style="9" customWidth="1"/>
    <col min="36" max="61" width="11.42578125" style="9"/>
  </cols>
  <sheetData>
    <row r="1" spans="1:61" s="9" customFormat="1" x14ac:dyDescent="0.25">
      <c r="B1" s="10"/>
      <c r="D1" s="11"/>
      <c r="AG1" s="18"/>
    </row>
    <row r="2" spans="1:61" s="9" customFormat="1" ht="28.5" customHeight="1" thickBot="1" x14ac:dyDescent="0.3">
      <c r="B2" s="10"/>
      <c r="D2" s="11"/>
      <c r="AG2" s="18"/>
      <c r="AI2" s="86" t="s">
        <v>53</v>
      </c>
      <c r="AJ2" s="86"/>
      <c r="AK2" s="26"/>
      <c r="AL2" s="26"/>
      <c r="AM2" s="26"/>
    </row>
    <row r="3" spans="1:61" ht="22.5" customHeight="1" thickBot="1" x14ac:dyDescent="0.3">
      <c r="C3" s="87" t="s">
        <v>464</v>
      </c>
      <c r="D3" s="88"/>
      <c r="E3" s="88"/>
      <c r="F3" s="89"/>
      <c r="H3" s="8"/>
      <c r="I3" s="87" t="s">
        <v>465</v>
      </c>
      <c r="J3" s="88"/>
      <c r="K3" s="88"/>
      <c r="L3" s="89"/>
      <c r="N3" s="8"/>
      <c r="O3" s="87" t="s">
        <v>466</v>
      </c>
      <c r="P3" s="88"/>
      <c r="Q3" s="88"/>
      <c r="R3" s="89"/>
      <c r="T3" s="8"/>
      <c r="U3" s="87" t="s">
        <v>467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F3" s="20"/>
      <c r="AI3" s="24"/>
      <c r="AJ3" s="24"/>
      <c r="AK3" s="24"/>
      <c r="AL3" s="24"/>
      <c r="AM3" s="24"/>
    </row>
    <row r="4" spans="1:61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0</v>
      </c>
      <c r="E4" s="94"/>
      <c r="F4" s="95"/>
      <c r="G4" s="29"/>
      <c r="H4" s="91" t="s">
        <v>9</v>
      </c>
      <c r="I4" s="27" t="s">
        <v>1</v>
      </c>
      <c r="J4" s="12">
        <f>J6+J7+J8+J9+J10+J11</f>
        <v>0</v>
      </c>
      <c r="K4" s="94"/>
      <c r="L4" s="95"/>
      <c r="M4" s="29"/>
      <c r="N4" s="91" t="s">
        <v>9</v>
      </c>
      <c r="O4" s="27" t="s">
        <v>1</v>
      </c>
      <c r="P4" s="12">
        <f>P6+P7+P8+P9+P10+P11</f>
        <v>0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0"/>
      <c r="AG4" s="31"/>
      <c r="AH4" s="29"/>
      <c r="AI4" s="28" t="s">
        <v>1</v>
      </c>
      <c r="AJ4" s="25">
        <f>J4+P4+V4</f>
        <v>0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5.75" customHeight="1" x14ac:dyDescent="0.25">
      <c r="B5" s="92"/>
      <c r="C5" s="6" t="s">
        <v>0</v>
      </c>
      <c r="D5" s="16">
        <v>0</v>
      </c>
      <c r="E5" s="96"/>
      <c r="F5" s="97"/>
      <c r="H5" s="92"/>
      <c r="I5" s="6" t="s">
        <v>0</v>
      </c>
      <c r="J5" s="16">
        <v>0</v>
      </c>
      <c r="K5" s="96"/>
      <c r="L5" s="97"/>
      <c r="N5" s="92"/>
      <c r="O5" s="6" t="s">
        <v>0</v>
      </c>
      <c r="P5" s="16">
        <v>0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F5" s="17"/>
      <c r="AI5" s="6" t="s">
        <v>0</v>
      </c>
      <c r="AJ5" s="16">
        <f>J5+P5+V5</f>
        <v>0</v>
      </c>
    </row>
    <row r="6" spans="1:61" ht="15.75" customHeight="1" x14ac:dyDescent="0.25">
      <c r="B6" s="92"/>
      <c r="C6" s="2" t="s">
        <v>2</v>
      </c>
      <c r="D6" s="4">
        <v>0</v>
      </c>
      <c r="E6" s="96"/>
      <c r="F6" s="97"/>
      <c r="H6" s="92"/>
      <c r="I6" s="2" t="s">
        <v>2</v>
      </c>
      <c r="J6" s="4">
        <v>0</v>
      </c>
      <c r="K6" s="96"/>
      <c r="L6" s="97"/>
      <c r="N6" s="92"/>
      <c r="O6" s="2" t="s">
        <v>2</v>
      </c>
      <c r="P6" s="4">
        <v>0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F6" s="17"/>
      <c r="AI6" s="2" t="s">
        <v>2</v>
      </c>
      <c r="AJ6" s="4">
        <f t="shared" ref="AJ6:AJ15" si="0">+J6+P6+V6</f>
        <v>0</v>
      </c>
    </row>
    <row r="7" spans="1:61" x14ac:dyDescent="0.25">
      <c r="B7" s="92"/>
      <c r="C7" s="2" t="s">
        <v>3</v>
      </c>
      <c r="D7" s="4">
        <v>0</v>
      </c>
      <c r="E7" s="96"/>
      <c r="F7" s="97"/>
      <c r="H7" s="92"/>
      <c r="I7" s="2" t="s">
        <v>3</v>
      </c>
      <c r="J7" s="4">
        <v>0</v>
      </c>
      <c r="K7" s="96"/>
      <c r="L7" s="97"/>
      <c r="N7" s="92"/>
      <c r="O7" s="2" t="s">
        <v>3</v>
      </c>
      <c r="P7" s="4">
        <v>0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F7" s="17"/>
      <c r="AI7" s="2" t="s">
        <v>3</v>
      </c>
      <c r="AJ7" s="4">
        <f t="shared" si="0"/>
        <v>0</v>
      </c>
    </row>
    <row r="8" spans="1:61" x14ac:dyDescent="0.25">
      <c r="B8" s="92"/>
      <c r="C8" s="2" t="s">
        <v>4</v>
      </c>
      <c r="D8" s="4">
        <v>0</v>
      </c>
      <c r="E8" s="96"/>
      <c r="F8" s="97"/>
      <c r="H8" s="92"/>
      <c r="I8" s="2" t="s">
        <v>4</v>
      </c>
      <c r="J8" s="4">
        <v>0</v>
      </c>
      <c r="K8" s="96"/>
      <c r="L8" s="97"/>
      <c r="N8" s="92"/>
      <c r="O8" s="2" t="s">
        <v>4</v>
      </c>
      <c r="P8" s="4">
        <v>0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F8" s="17"/>
      <c r="AI8" s="2" t="s">
        <v>4</v>
      </c>
      <c r="AJ8" s="4">
        <f t="shared" si="0"/>
        <v>0</v>
      </c>
    </row>
    <row r="9" spans="1:61" x14ac:dyDescent="0.25">
      <c r="B9" s="92"/>
      <c r="C9" s="2" t="s">
        <v>5</v>
      </c>
      <c r="D9" s="4">
        <v>0</v>
      </c>
      <c r="E9" s="96"/>
      <c r="F9" s="97"/>
      <c r="H9" s="92"/>
      <c r="I9" s="2" t="s">
        <v>5</v>
      </c>
      <c r="J9" s="4">
        <v>0</v>
      </c>
      <c r="K9" s="96"/>
      <c r="L9" s="97"/>
      <c r="N9" s="92"/>
      <c r="O9" s="2" t="s">
        <v>5</v>
      </c>
      <c r="P9" s="4">
        <v>0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F9" s="17"/>
      <c r="AI9" s="2" t="s">
        <v>5</v>
      </c>
      <c r="AJ9" s="4">
        <f t="shared" si="0"/>
        <v>0</v>
      </c>
    </row>
    <row r="10" spans="1:61" ht="15.75" thickBot="1" x14ac:dyDescent="0.3">
      <c r="B10" s="92"/>
      <c r="C10" s="7" t="s">
        <v>6</v>
      </c>
      <c r="D10" s="15">
        <v>0</v>
      </c>
      <c r="E10" s="96"/>
      <c r="F10" s="97"/>
      <c r="H10" s="92"/>
      <c r="I10" s="7" t="s">
        <v>6</v>
      </c>
      <c r="J10" s="15">
        <v>0</v>
      </c>
      <c r="K10" s="96"/>
      <c r="L10" s="97"/>
      <c r="N10" s="92"/>
      <c r="O10" s="7" t="s">
        <v>6</v>
      </c>
      <c r="P10" s="15">
        <v>0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F10" s="17"/>
      <c r="AI10" s="7" t="s">
        <v>6</v>
      </c>
      <c r="AJ10" s="15">
        <f t="shared" si="0"/>
        <v>0</v>
      </c>
    </row>
    <row r="11" spans="1:61" ht="15.75" thickBot="1" x14ac:dyDescent="0.3">
      <c r="B11" s="92"/>
      <c r="C11" s="2" t="s">
        <v>7</v>
      </c>
      <c r="D11" s="4">
        <v>0</v>
      </c>
      <c r="E11" s="98" t="s">
        <v>33</v>
      </c>
      <c r="F11" s="99"/>
      <c r="H11" s="92"/>
      <c r="I11" s="2" t="s">
        <v>7</v>
      </c>
      <c r="J11" s="4">
        <v>0</v>
      </c>
      <c r="K11" s="98" t="s">
        <v>33</v>
      </c>
      <c r="L11" s="99"/>
      <c r="N11" s="92"/>
      <c r="O11" s="2" t="s">
        <v>7</v>
      </c>
      <c r="P11" s="4">
        <v>0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F11" s="19"/>
      <c r="AI11" s="2" t="s">
        <v>7</v>
      </c>
      <c r="AJ11" s="4">
        <f t="shared" si="0"/>
        <v>0</v>
      </c>
    </row>
    <row r="12" spans="1:61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F12" s="17"/>
      <c r="AI12" s="2" t="s">
        <v>49</v>
      </c>
      <c r="AJ12" s="4">
        <f t="shared" si="0"/>
        <v>0</v>
      </c>
    </row>
    <row r="13" spans="1:61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F13" s="17"/>
      <c r="AI13" s="2" t="s">
        <v>50</v>
      </c>
      <c r="AJ13" s="4">
        <f t="shared" si="0"/>
        <v>0</v>
      </c>
    </row>
    <row r="14" spans="1:61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F14" s="17"/>
      <c r="AI14" s="2" t="s">
        <v>51</v>
      </c>
      <c r="AJ14" s="4">
        <f t="shared" si="0"/>
        <v>0</v>
      </c>
    </row>
    <row r="15" spans="1:61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F15" s="19"/>
      <c r="AI15" s="3" t="s">
        <v>52</v>
      </c>
      <c r="AJ15" s="5">
        <f t="shared" si="0"/>
        <v>0</v>
      </c>
    </row>
    <row r="16" spans="1:61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G16" s="18"/>
    </row>
    <row r="17" spans="2:36" x14ac:dyDescent="0.25">
      <c r="B17" s="104" t="s">
        <v>28</v>
      </c>
      <c r="C17" s="6" t="s">
        <v>10</v>
      </c>
      <c r="D17" s="107" t="s">
        <v>34</v>
      </c>
      <c r="E17" s="108"/>
      <c r="F17" s="9"/>
      <c r="H17" s="104" t="s">
        <v>28</v>
      </c>
      <c r="I17" s="6" t="s">
        <v>10</v>
      </c>
      <c r="J17" s="107" t="s">
        <v>34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34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6" ht="15.75" thickBot="1" x14ac:dyDescent="0.3">
      <c r="B18" s="105"/>
      <c r="C18" s="2" t="s">
        <v>11</v>
      </c>
      <c r="D18" s="100" t="s">
        <v>35</v>
      </c>
      <c r="E18" s="101"/>
      <c r="F18" s="9"/>
      <c r="H18" s="105"/>
      <c r="I18" s="2" t="s">
        <v>11</v>
      </c>
      <c r="J18" s="100" t="s">
        <v>35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35</v>
      </c>
      <c r="W18" s="101"/>
      <c r="Z18" s="105"/>
      <c r="AA18" s="2" t="s">
        <v>11</v>
      </c>
      <c r="AB18" s="100" t="s">
        <v>35</v>
      </c>
      <c r="AC18" s="101"/>
    </row>
    <row r="19" spans="2:36" ht="15.75" thickBot="1" x14ac:dyDescent="0.3">
      <c r="B19" s="105"/>
      <c r="C19" s="2" t="s">
        <v>12</v>
      </c>
      <c r="D19" s="100" t="s">
        <v>468</v>
      </c>
      <c r="E19" s="101"/>
      <c r="F19" s="9"/>
      <c r="H19" s="105"/>
      <c r="I19" s="2" t="s">
        <v>12</v>
      </c>
      <c r="J19" s="100" t="s">
        <v>98</v>
      </c>
      <c r="K19" s="101"/>
      <c r="N19" s="105"/>
      <c r="O19" s="2" t="s">
        <v>12</v>
      </c>
      <c r="P19" s="100" t="s">
        <v>469</v>
      </c>
      <c r="Q19" s="101"/>
      <c r="T19" s="105"/>
      <c r="U19" s="2" t="s">
        <v>12</v>
      </c>
      <c r="V19" s="100" t="s">
        <v>99</v>
      </c>
      <c r="W19" s="101"/>
      <c r="Z19" s="105"/>
      <c r="AA19" s="2" t="s">
        <v>12</v>
      </c>
      <c r="AB19" s="100" t="s">
        <v>36</v>
      </c>
      <c r="AC19" s="101"/>
      <c r="AI19" s="51" t="s">
        <v>54</v>
      </c>
      <c r="AJ19" s="52">
        <f>+AJ20+AJ21</f>
        <v>0</v>
      </c>
    </row>
    <row r="20" spans="2:36" ht="15.75" thickBot="1" x14ac:dyDescent="0.3">
      <c r="B20" s="106"/>
      <c r="C20" s="3" t="s">
        <v>13</v>
      </c>
      <c r="D20" s="102" t="s">
        <v>470</v>
      </c>
      <c r="E20" s="103"/>
      <c r="F20" s="9"/>
      <c r="H20" s="106"/>
      <c r="I20" s="3" t="s">
        <v>13</v>
      </c>
      <c r="J20" s="102" t="s">
        <v>471</v>
      </c>
      <c r="K20" s="103"/>
      <c r="N20" s="106"/>
      <c r="O20" s="3" t="s">
        <v>13</v>
      </c>
      <c r="P20" s="102" t="s">
        <v>472</v>
      </c>
      <c r="Q20" s="103"/>
      <c r="T20" s="106"/>
      <c r="U20" s="3" t="s">
        <v>13</v>
      </c>
      <c r="V20" s="102" t="s">
        <v>473</v>
      </c>
      <c r="W20" s="103"/>
      <c r="Z20" s="106"/>
      <c r="AA20" s="3" t="s">
        <v>13</v>
      </c>
      <c r="AB20" s="102" t="s">
        <v>36</v>
      </c>
      <c r="AC20" s="103"/>
      <c r="AI20" s="49" t="s">
        <v>55</v>
      </c>
      <c r="AJ20" s="50"/>
    </row>
    <row r="21" spans="2:36" ht="15.75" thickBot="1" x14ac:dyDescent="0.3">
      <c r="B21" s="109" t="s">
        <v>29</v>
      </c>
      <c r="C21" s="6" t="s">
        <v>14</v>
      </c>
      <c r="D21" s="107" t="s">
        <v>474</v>
      </c>
      <c r="E21" s="108"/>
      <c r="F21" s="9"/>
      <c r="H21" s="109" t="s">
        <v>29</v>
      </c>
      <c r="I21" s="6" t="s">
        <v>14</v>
      </c>
      <c r="J21" s="107" t="s">
        <v>475</v>
      </c>
      <c r="K21" s="108"/>
      <c r="N21" s="109" t="s">
        <v>29</v>
      </c>
      <c r="O21" s="6" t="s">
        <v>14</v>
      </c>
      <c r="P21" s="107" t="s">
        <v>476</v>
      </c>
      <c r="Q21" s="108"/>
      <c r="T21" s="109" t="s">
        <v>29</v>
      </c>
      <c r="U21" s="6" t="s">
        <v>14</v>
      </c>
      <c r="V21" s="107" t="s">
        <v>477</v>
      </c>
      <c r="W21" s="108"/>
      <c r="Z21" s="109" t="s">
        <v>29</v>
      </c>
      <c r="AA21" s="6" t="s">
        <v>14</v>
      </c>
      <c r="AB21" s="107" t="s">
        <v>37</v>
      </c>
      <c r="AC21" s="108"/>
      <c r="AI21" s="47" t="s">
        <v>56</v>
      </c>
      <c r="AJ21" s="48"/>
    </row>
    <row r="22" spans="2:36" x14ac:dyDescent="0.25">
      <c r="B22" s="110"/>
      <c r="C22" s="2" t="s">
        <v>15</v>
      </c>
      <c r="D22" s="137">
        <v>8649914</v>
      </c>
      <c r="E22" s="101"/>
      <c r="F22" s="9"/>
      <c r="H22" s="110"/>
      <c r="I22" s="2" t="s">
        <v>15</v>
      </c>
      <c r="J22" s="137">
        <v>33968532</v>
      </c>
      <c r="K22" s="101"/>
      <c r="N22" s="110"/>
      <c r="O22" s="2" t="s">
        <v>15</v>
      </c>
      <c r="P22" s="137">
        <v>13432322</v>
      </c>
      <c r="Q22" s="101"/>
      <c r="T22" s="110"/>
      <c r="U22" s="2" t="s">
        <v>15</v>
      </c>
      <c r="V22" s="137">
        <v>13564199</v>
      </c>
      <c r="W22" s="101"/>
      <c r="Z22" s="110"/>
      <c r="AA22" s="2" t="s">
        <v>15</v>
      </c>
      <c r="AB22" s="100" t="s">
        <v>38</v>
      </c>
      <c r="AC22" s="101"/>
    </row>
    <row r="23" spans="2:36" x14ac:dyDescent="0.25">
      <c r="B23" s="110"/>
      <c r="C23" s="2" t="s">
        <v>16</v>
      </c>
      <c r="D23" s="100" t="s">
        <v>478</v>
      </c>
      <c r="E23" s="101"/>
      <c r="F23" s="9"/>
      <c r="H23" s="110"/>
      <c r="I23" s="2" t="s">
        <v>16</v>
      </c>
      <c r="J23" s="100">
        <v>4241875291</v>
      </c>
      <c r="K23" s="101"/>
      <c r="N23" s="110"/>
      <c r="O23" s="2" t="s">
        <v>16</v>
      </c>
      <c r="P23" s="100">
        <v>4144668829</v>
      </c>
      <c r="Q23" s="101"/>
      <c r="T23" s="110"/>
      <c r="U23" s="2" t="s">
        <v>16</v>
      </c>
      <c r="V23" s="100" t="s">
        <v>479</v>
      </c>
      <c r="W23" s="101"/>
      <c r="Z23" s="110"/>
      <c r="AA23" s="2" t="s">
        <v>16</v>
      </c>
      <c r="AB23" s="100" t="s">
        <v>39</v>
      </c>
      <c r="AC23" s="101"/>
    </row>
    <row r="24" spans="2:36" ht="15.75" thickBot="1" x14ac:dyDescent="0.3">
      <c r="B24" s="111"/>
      <c r="C24" s="3" t="s">
        <v>17</v>
      </c>
      <c r="D24" s="102" t="s">
        <v>480</v>
      </c>
      <c r="E24" s="103"/>
      <c r="F24" s="9"/>
      <c r="H24" s="111"/>
      <c r="I24" s="3" t="s">
        <v>17</v>
      </c>
      <c r="J24" s="102" t="s">
        <v>481</v>
      </c>
      <c r="K24" s="103"/>
      <c r="N24" s="111"/>
      <c r="O24" s="3" t="s">
        <v>17</v>
      </c>
      <c r="P24" s="102" t="s">
        <v>482</v>
      </c>
      <c r="Q24" s="103"/>
      <c r="T24" s="111"/>
      <c r="U24" s="3" t="s">
        <v>17</v>
      </c>
      <c r="V24" s="102" t="s">
        <v>483</v>
      </c>
      <c r="W24" s="103"/>
      <c r="Z24" s="111"/>
      <c r="AA24" s="3" t="s">
        <v>17</v>
      </c>
      <c r="AB24" s="102" t="s">
        <v>40</v>
      </c>
      <c r="AC24" s="103"/>
    </row>
    <row r="25" spans="2:36" x14ac:dyDescent="0.25">
      <c r="B25" s="109" t="s">
        <v>30</v>
      </c>
      <c r="C25" s="6" t="s">
        <v>18</v>
      </c>
      <c r="D25" s="107"/>
      <c r="E25" s="108"/>
      <c r="F25" s="9"/>
      <c r="H25" s="109" t="s">
        <v>30</v>
      </c>
      <c r="I25" s="6" t="s">
        <v>18</v>
      </c>
      <c r="J25" s="107"/>
      <c r="K25" s="108"/>
      <c r="N25" s="109" t="s">
        <v>30</v>
      </c>
      <c r="O25" s="6" t="s">
        <v>18</v>
      </c>
      <c r="P25" s="107"/>
      <c r="Q25" s="108"/>
      <c r="T25" s="109" t="s">
        <v>30</v>
      </c>
      <c r="U25" s="6" t="s">
        <v>18</v>
      </c>
      <c r="V25" s="107"/>
      <c r="W25" s="108"/>
      <c r="Z25" s="109" t="s">
        <v>30</v>
      </c>
      <c r="AA25" s="6" t="s">
        <v>18</v>
      </c>
      <c r="AB25" s="107" t="s">
        <v>41</v>
      </c>
      <c r="AC25" s="108"/>
    </row>
    <row r="26" spans="2:36" x14ac:dyDescent="0.25">
      <c r="B26" s="110"/>
      <c r="C26" s="2" t="s">
        <v>15</v>
      </c>
      <c r="D26" s="100"/>
      <c r="E26" s="101"/>
      <c r="F26" s="9"/>
      <c r="H26" s="110"/>
      <c r="I26" s="2" t="s">
        <v>15</v>
      </c>
      <c r="J26" s="100"/>
      <c r="K26" s="101"/>
      <c r="N26" s="110"/>
      <c r="O26" s="2" t="s">
        <v>15</v>
      </c>
      <c r="P26" s="100"/>
      <c r="Q26" s="101"/>
      <c r="T26" s="110"/>
      <c r="U26" s="2" t="s">
        <v>15</v>
      </c>
      <c r="V26" s="100"/>
      <c r="W26" s="101"/>
      <c r="Z26" s="110"/>
      <c r="AA26" s="2" t="s">
        <v>15</v>
      </c>
      <c r="AB26" s="100" t="s">
        <v>38</v>
      </c>
      <c r="AC26" s="101"/>
    </row>
    <row r="27" spans="2:36" x14ac:dyDescent="0.25">
      <c r="B27" s="110"/>
      <c r="C27" s="2" t="s">
        <v>16</v>
      </c>
      <c r="D27" s="100"/>
      <c r="E27" s="101"/>
      <c r="F27" s="9"/>
      <c r="H27" s="110"/>
      <c r="I27" s="2" t="s">
        <v>16</v>
      </c>
      <c r="J27" s="100"/>
      <c r="K27" s="101"/>
      <c r="N27" s="110"/>
      <c r="O27" s="2" t="s">
        <v>16</v>
      </c>
      <c r="P27" s="100"/>
      <c r="Q27" s="101"/>
      <c r="T27" s="110"/>
      <c r="U27" s="2" t="s">
        <v>16</v>
      </c>
      <c r="V27" s="100"/>
      <c r="W27" s="101"/>
      <c r="Z27" s="110"/>
      <c r="AA27" s="2" t="s">
        <v>16</v>
      </c>
      <c r="AB27" s="100" t="s">
        <v>39</v>
      </c>
      <c r="AC27" s="101"/>
    </row>
    <row r="28" spans="2:36" x14ac:dyDescent="0.25">
      <c r="B28" s="110"/>
      <c r="C28" s="2" t="s">
        <v>19</v>
      </c>
      <c r="D28" s="100"/>
      <c r="E28" s="101"/>
      <c r="F28" s="9"/>
      <c r="H28" s="110"/>
      <c r="I28" s="2" t="s">
        <v>19</v>
      </c>
      <c r="J28" s="100"/>
      <c r="K28" s="101"/>
      <c r="N28" s="110"/>
      <c r="O28" s="2" t="s">
        <v>19</v>
      </c>
      <c r="P28" s="100"/>
      <c r="Q28" s="101"/>
      <c r="T28" s="110"/>
      <c r="U28" s="2" t="s">
        <v>19</v>
      </c>
      <c r="V28" s="100"/>
      <c r="W28" s="101"/>
      <c r="Z28" s="110"/>
      <c r="AA28" s="2" t="s">
        <v>19</v>
      </c>
      <c r="AB28" s="100" t="s">
        <v>42</v>
      </c>
      <c r="AC28" s="101"/>
    </row>
    <row r="29" spans="2:36" x14ac:dyDescent="0.25">
      <c r="B29" s="110"/>
      <c r="C29" s="2" t="s">
        <v>20</v>
      </c>
      <c r="D29" s="100" t="s">
        <v>8</v>
      </c>
      <c r="E29" s="101"/>
      <c r="F29" s="9"/>
      <c r="H29" s="110"/>
      <c r="I29" s="2" t="s">
        <v>20</v>
      </c>
      <c r="J29" s="100"/>
      <c r="K29" s="101"/>
      <c r="N29" s="110"/>
      <c r="O29" s="2" t="s">
        <v>20</v>
      </c>
      <c r="P29" s="100"/>
      <c r="Q29" s="101"/>
      <c r="T29" s="110"/>
      <c r="U29" s="2" t="s">
        <v>20</v>
      </c>
      <c r="V29" s="100"/>
      <c r="W29" s="101"/>
      <c r="Z29" s="110"/>
      <c r="AA29" s="2" t="s">
        <v>20</v>
      </c>
      <c r="AB29" s="100" t="s">
        <v>8</v>
      </c>
      <c r="AC29" s="101"/>
    </row>
    <row r="30" spans="2:36" ht="15.75" thickBot="1" x14ac:dyDescent="0.3">
      <c r="B30" s="111"/>
      <c r="C30" s="3" t="s">
        <v>21</v>
      </c>
      <c r="D30" s="102" t="s">
        <v>8</v>
      </c>
      <c r="E30" s="103"/>
      <c r="F30" s="9"/>
      <c r="H30" s="111"/>
      <c r="I30" s="3" t="s">
        <v>21</v>
      </c>
      <c r="J30" s="102"/>
      <c r="K30" s="103"/>
      <c r="N30" s="111"/>
      <c r="O30" s="3" t="s">
        <v>21</v>
      </c>
      <c r="P30" s="102"/>
      <c r="Q30" s="103"/>
      <c r="T30" s="111"/>
      <c r="U30" s="3" t="s">
        <v>21</v>
      </c>
      <c r="V30" s="102"/>
      <c r="W30" s="103"/>
      <c r="Z30" s="111"/>
      <c r="AA30" s="3" t="s">
        <v>21</v>
      </c>
      <c r="AB30" s="102" t="s">
        <v>8</v>
      </c>
      <c r="AC30" s="103"/>
    </row>
    <row r="31" spans="2:36" x14ac:dyDescent="0.25">
      <c r="B31" s="104" t="s">
        <v>32</v>
      </c>
      <c r="C31" s="6" t="s">
        <v>23</v>
      </c>
      <c r="D31" s="107" t="s">
        <v>456</v>
      </c>
      <c r="E31" s="108"/>
      <c r="F31" s="9"/>
      <c r="H31" s="104" t="s">
        <v>32</v>
      </c>
      <c r="I31" s="6" t="s">
        <v>23</v>
      </c>
      <c r="J31" s="107" t="s">
        <v>162</v>
      </c>
      <c r="K31" s="108"/>
      <c r="N31" s="104" t="s">
        <v>32</v>
      </c>
      <c r="O31" s="6" t="s">
        <v>23</v>
      </c>
      <c r="P31" s="107" t="s">
        <v>162</v>
      </c>
      <c r="Q31" s="108"/>
      <c r="T31" s="104" t="s">
        <v>32</v>
      </c>
      <c r="U31" s="6" t="s">
        <v>23</v>
      </c>
      <c r="V31" s="107" t="s">
        <v>162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6" x14ac:dyDescent="0.25">
      <c r="B32" s="105"/>
      <c r="C32" s="2" t="s">
        <v>24</v>
      </c>
      <c r="D32" s="112" t="s">
        <v>87</v>
      </c>
      <c r="E32" s="113"/>
      <c r="F32" s="9"/>
      <c r="H32" s="105"/>
      <c r="I32" s="2" t="s">
        <v>24</v>
      </c>
      <c r="J32" s="112" t="s">
        <v>162</v>
      </c>
      <c r="K32" s="113"/>
      <c r="N32" s="105"/>
      <c r="O32" s="2" t="s">
        <v>24</v>
      </c>
      <c r="P32" s="112" t="s">
        <v>162</v>
      </c>
      <c r="Q32" s="113"/>
      <c r="T32" s="105"/>
      <c r="U32" s="2" t="s">
        <v>24</v>
      </c>
      <c r="V32" s="112" t="s">
        <v>162</v>
      </c>
      <c r="W32" s="113"/>
      <c r="Z32" s="105"/>
      <c r="AA32" s="2" t="s">
        <v>24</v>
      </c>
      <c r="AB32" s="112" t="s">
        <v>22</v>
      </c>
      <c r="AC32" s="113"/>
    </row>
    <row r="33" spans="2:33" x14ac:dyDescent="0.25">
      <c r="B33" s="105"/>
      <c r="C33" s="2" t="s">
        <v>25</v>
      </c>
      <c r="D33" s="112" t="s">
        <v>88</v>
      </c>
      <c r="E33" s="113"/>
      <c r="F33" s="9"/>
      <c r="H33" s="105"/>
      <c r="I33" s="2" t="s">
        <v>25</v>
      </c>
      <c r="J33" s="112" t="s">
        <v>456</v>
      </c>
      <c r="K33" s="113"/>
      <c r="N33" s="105"/>
      <c r="O33" s="2" t="s">
        <v>25</v>
      </c>
      <c r="P33" s="112" t="s">
        <v>162</v>
      </c>
      <c r="Q33" s="113"/>
      <c r="T33" s="105"/>
      <c r="U33" s="2" t="s">
        <v>25</v>
      </c>
      <c r="V33" s="112" t="s">
        <v>162</v>
      </c>
      <c r="W33" s="113"/>
      <c r="Z33" s="105"/>
      <c r="AA33" s="2" t="s">
        <v>25</v>
      </c>
      <c r="AB33" s="112" t="s">
        <v>22</v>
      </c>
      <c r="AC33" s="113"/>
    </row>
    <row r="34" spans="2:33" ht="15.75" thickBot="1" x14ac:dyDescent="0.3">
      <c r="B34" s="105"/>
      <c r="C34" s="7" t="s">
        <v>26</v>
      </c>
      <c r="D34" s="114" t="s">
        <v>456</v>
      </c>
      <c r="E34" s="115"/>
      <c r="F34" s="9"/>
      <c r="H34" s="105"/>
      <c r="I34" s="7" t="s">
        <v>26</v>
      </c>
      <c r="J34" s="114" t="s">
        <v>456</v>
      </c>
      <c r="K34" s="115"/>
      <c r="N34" s="105"/>
      <c r="O34" s="7" t="s">
        <v>26</v>
      </c>
      <c r="P34" s="114" t="s">
        <v>456</v>
      </c>
      <c r="Q34" s="115"/>
      <c r="T34" s="105"/>
      <c r="U34" s="7" t="s">
        <v>26</v>
      </c>
      <c r="V34" s="114" t="s">
        <v>162</v>
      </c>
      <c r="W34" s="115"/>
      <c r="Z34" s="105"/>
      <c r="AA34" s="7" t="s">
        <v>26</v>
      </c>
      <c r="AB34" s="114" t="s">
        <v>22</v>
      </c>
      <c r="AC34" s="115"/>
    </row>
    <row r="35" spans="2:33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  <c r="AF35" s="21"/>
    </row>
    <row r="36" spans="2:33" x14ac:dyDescent="0.25">
      <c r="B36" s="110"/>
      <c r="C36" s="119" t="s">
        <v>484</v>
      </c>
      <c r="D36" s="120"/>
      <c r="E36" s="120"/>
      <c r="F36" s="121"/>
      <c r="H36" s="110"/>
      <c r="I36" s="119" t="s">
        <v>484</v>
      </c>
      <c r="J36" s="120"/>
      <c r="K36" s="120"/>
      <c r="L36" s="121"/>
      <c r="N36" s="110"/>
      <c r="O36" s="142" t="s">
        <v>485</v>
      </c>
      <c r="P36" s="143"/>
      <c r="Q36" s="143"/>
      <c r="R36" s="144"/>
      <c r="T36" s="110"/>
      <c r="U36" s="119" t="s">
        <v>486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  <c r="AF36" s="22"/>
    </row>
    <row r="37" spans="2:33" x14ac:dyDescent="0.25">
      <c r="B37" s="110"/>
      <c r="C37" s="122" t="s">
        <v>487</v>
      </c>
      <c r="D37" s="123"/>
      <c r="E37" s="123"/>
      <c r="F37" s="124"/>
      <c r="H37" s="110"/>
      <c r="I37" s="122" t="s">
        <v>488</v>
      </c>
      <c r="J37" s="123"/>
      <c r="K37" s="123"/>
      <c r="L37" s="124"/>
      <c r="N37" s="110"/>
      <c r="O37" s="122" t="s">
        <v>484</v>
      </c>
      <c r="P37" s="123"/>
      <c r="Q37" s="123"/>
      <c r="R37" s="124"/>
      <c r="T37" s="110"/>
      <c r="U37" s="122" t="s">
        <v>489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  <c r="AF37" s="22"/>
    </row>
    <row r="38" spans="2:33" x14ac:dyDescent="0.25">
      <c r="B38" s="110"/>
      <c r="C38" s="122" t="s">
        <v>490</v>
      </c>
      <c r="D38" s="123"/>
      <c r="E38" s="123"/>
      <c r="F38" s="124"/>
      <c r="H38" s="110"/>
      <c r="I38" s="122" t="s">
        <v>491</v>
      </c>
      <c r="J38" s="123"/>
      <c r="K38" s="123"/>
      <c r="L38" s="124"/>
      <c r="N38" s="110"/>
      <c r="O38" s="122" t="s">
        <v>43</v>
      </c>
      <c r="P38" s="123"/>
      <c r="Q38" s="123"/>
      <c r="R38" s="124"/>
      <c r="T38" s="110"/>
      <c r="U38" s="122" t="s">
        <v>484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  <c r="AF38" s="22"/>
    </row>
    <row r="39" spans="2:33" ht="15.75" thickBot="1" x14ac:dyDescent="0.3">
      <c r="B39" s="111"/>
      <c r="C39" s="125" t="s">
        <v>492</v>
      </c>
      <c r="D39" s="126"/>
      <c r="E39" s="126"/>
      <c r="F39" s="127"/>
      <c r="H39" s="111"/>
      <c r="I39" s="125" t="s">
        <v>493</v>
      </c>
      <c r="J39" s="126"/>
      <c r="K39" s="126"/>
      <c r="L39" s="127"/>
      <c r="N39" s="111"/>
      <c r="O39" s="125" t="s">
        <v>43</v>
      </c>
      <c r="P39" s="126"/>
      <c r="Q39" s="126"/>
      <c r="R39" s="127"/>
      <c r="T39" s="111"/>
      <c r="U39" s="125"/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  <c r="AF39" s="22"/>
    </row>
    <row r="40" spans="2:33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G40" s="18"/>
    </row>
    <row r="41" spans="2:33" s="9" customFormat="1" x14ac:dyDescent="0.25">
      <c r="B41" s="10"/>
      <c r="C41" s="13" t="s">
        <v>44</v>
      </c>
      <c r="D41" s="130" t="s">
        <v>462</v>
      </c>
      <c r="E41" s="131"/>
      <c r="F41" s="132"/>
      <c r="H41" s="10"/>
      <c r="I41" s="13" t="s">
        <v>44</v>
      </c>
      <c r="J41" s="130" t="s">
        <v>462</v>
      </c>
      <c r="K41" s="131"/>
      <c r="L41" s="132"/>
      <c r="N41" s="10"/>
      <c r="O41" s="13" t="s">
        <v>44</v>
      </c>
      <c r="P41" s="130" t="s">
        <v>462</v>
      </c>
      <c r="Q41" s="131"/>
      <c r="R41" s="132"/>
      <c r="T41" s="10"/>
      <c r="U41" s="13" t="s">
        <v>44</v>
      </c>
      <c r="V41" s="130" t="s">
        <v>462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23"/>
      <c r="AG41" s="18"/>
    </row>
    <row r="42" spans="2:33" s="9" customFormat="1" ht="15.75" thickBot="1" x14ac:dyDescent="0.3">
      <c r="B42" s="10"/>
      <c r="C42" s="14" t="s">
        <v>45</v>
      </c>
      <c r="D42" s="128" t="s">
        <v>494</v>
      </c>
      <c r="E42" s="128"/>
      <c r="F42" s="129"/>
      <c r="H42" s="10"/>
      <c r="I42" s="14" t="s">
        <v>45</v>
      </c>
      <c r="J42" s="128" t="s">
        <v>495</v>
      </c>
      <c r="K42" s="128"/>
      <c r="L42" s="129"/>
      <c r="N42" s="10"/>
      <c r="O42" s="14" t="s">
        <v>45</v>
      </c>
      <c r="P42" s="128" t="s">
        <v>496</v>
      </c>
      <c r="Q42" s="128"/>
      <c r="R42" s="129"/>
      <c r="T42" s="10"/>
      <c r="U42" s="14" t="s">
        <v>45</v>
      </c>
      <c r="V42" s="128" t="s">
        <v>497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23"/>
      <c r="AG42" s="18"/>
    </row>
    <row r="43" spans="2:33" s="9" customFormat="1" x14ac:dyDescent="0.25">
      <c r="B43" s="10"/>
      <c r="D43" s="11"/>
      <c r="AG43" s="18"/>
    </row>
    <row r="44" spans="2:33" s="9" customFormat="1" x14ac:dyDescent="0.25">
      <c r="B44" s="10"/>
      <c r="D44" s="11"/>
      <c r="AG44" s="18"/>
    </row>
    <row r="45" spans="2:33" s="9" customFormat="1" x14ac:dyDescent="0.25">
      <c r="B45" s="10"/>
      <c r="D45" s="11"/>
      <c r="AG45" s="18"/>
    </row>
    <row r="46" spans="2:33" s="9" customFormat="1" x14ac:dyDescent="0.25">
      <c r="B46" s="10"/>
      <c r="D46" s="11"/>
      <c r="AG46" s="18"/>
    </row>
    <row r="47" spans="2:33" s="9" customFormat="1" x14ac:dyDescent="0.25">
      <c r="B47" s="10"/>
      <c r="D47" s="11"/>
      <c r="AG47" s="18"/>
    </row>
    <row r="48" spans="2:33" s="9" customFormat="1" x14ac:dyDescent="0.25">
      <c r="B48" s="10"/>
      <c r="D48" s="11"/>
      <c r="AG48" s="18"/>
    </row>
    <row r="49" spans="2:33" s="9" customFormat="1" x14ac:dyDescent="0.25">
      <c r="B49" s="10"/>
      <c r="D49" s="11"/>
      <c r="AG49" s="18"/>
    </row>
    <row r="50" spans="2:33" s="9" customFormat="1" x14ac:dyDescent="0.25">
      <c r="B50" s="10"/>
      <c r="D50" s="11"/>
      <c r="AG50" s="18"/>
    </row>
    <row r="51" spans="2:33" s="9" customFormat="1" x14ac:dyDescent="0.25">
      <c r="B51" s="10"/>
      <c r="D51" s="11"/>
      <c r="AG51" s="18"/>
    </row>
    <row r="52" spans="2:33" s="9" customFormat="1" x14ac:dyDescent="0.25">
      <c r="B52" s="10"/>
      <c r="D52" s="11"/>
      <c r="AG52" s="18"/>
    </row>
    <row r="53" spans="2:33" s="9" customFormat="1" x14ac:dyDescent="0.25">
      <c r="B53" s="10"/>
      <c r="D53" s="11"/>
      <c r="AG53" s="18"/>
    </row>
    <row r="54" spans="2:33" s="9" customFormat="1" x14ac:dyDescent="0.25">
      <c r="B54" s="10"/>
      <c r="D54" s="11"/>
      <c r="AG54" s="18"/>
    </row>
    <row r="55" spans="2:33" s="9" customFormat="1" x14ac:dyDescent="0.25">
      <c r="B55" s="10"/>
      <c r="D55" s="11"/>
      <c r="AG55" s="18"/>
    </row>
    <row r="56" spans="2:33" s="9" customFormat="1" x14ac:dyDescent="0.25">
      <c r="B56" s="10"/>
      <c r="D56" s="11"/>
      <c r="AG56" s="18"/>
    </row>
    <row r="57" spans="2:33" s="9" customFormat="1" x14ac:dyDescent="0.25">
      <c r="B57" s="10"/>
      <c r="D57" s="11"/>
      <c r="AG57" s="18"/>
    </row>
    <row r="58" spans="2:33" s="9" customFormat="1" x14ac:dyDescent="0.25">
      <c r="B58" s="10"/>
      <c r="D58" s="11"/>
      <c r="AG58" s="18"/>
    </row>
    <row r="59" spans="2:33" s="9" customFormat="1" x14ac:dyDescent="0.25">
      <c r="B59" s="10"/>
      <c r="D59" s="11"/>
      <c r="AG59" s="18"/>
    </row>
    <row r="60" spans="2:33" s="9" customFormat="1" x14ac:dyDescent="0.25">
      <c r="B60" s="10"/>
      <c r="D60" s="11"/>
      <c r="AG60" s="18"/>
    </row>
    <row r="61" spans="2:33" s="9" customFormat="1" x14ac:dyDescent="0.25">
      <c r="B61" s="10"/>
      <c r="D61" s="11"/>
      <c r="AG61" s="18"/>
    </row>
    <row r="62" spans="2:33" s="9" customFormat="1" x14ac:dyDescent="0.25">
      <c r="B62" s="10"/>
      <c r="D62" s="11"/>
      <c r="AG62" s="18"/>
    </row>
    <row r="63" spans="2:33" s="9" customFormat="1" x14ac:dyDescent="0.25">
      <c r="B63" s="10"/>
      <c r="D63" s="11"/>
      <c r="AG63" s="18"/>
    </row>
    <row r="64" spans="2:33" s="9" customFormat="1" x14ac:dyDescent="0.25">
      <c r="B64" s="10"/>
      <c r="D64" s="11"/>
      <c r="AG64" s="18"/>
    </row>
    <row r="65" spans="2:33" s="9" customFormat="1" x14ac:dyDescent="0.25">
      <c r="B65" s="10"/>
      <c r="D65" s="11"/>
      <c r="AG65" s="18"/>
    </row>
    <row r="66" spans="2:33" s="9" customFormat="1" x14ac:dyDescent="0.25">
      <c r="B66" s="10"/>
      <c r="D66" s="11"/>
      <c r="AG66" s="18"/>
    </row>
    <row r="67" spans="2:33" s="9" customFormat="1" x14ac:dyDescent="0.25">
      <c r="B67" s="10"/>
      <c r="D67" s="11"/>
      <c r="AG67" s="18"/>
    </row>
    <row r="68" spans="2:33" s="9" customFormat="1" x14ac:dyDescent="0.25">
      <c r="B68" s="10"/>
      <c r="D68" s="11"/>
      <c r="AG68" s="18"/>
    </row>
    <row r="69" spans="2:33" s="9" customFormat="1" x14ac:dyDescent="0.25">
      <c r="B69" s="10"/>
      <c r="D69" s="11"/>
      <c r="AG69" s="18"/>
    </row>
    <row r="70" spans="2:33" s="9" customFormat="1" x14ac:dyDescent="0.25">
      <c r="B70" s="10"/>
      <c r="D70" s="11"/>
      <c r="AG70" s="18"/>
    </row>
    <row r="71" spans="2:33" s="9" customFormat="1" x14ac:dyDescent="0.25">
      <c r="B71" s="10"/>
      <c r="D71" s="11"/>
      <c r="AG71" s="18"/>
    </row>
    <row r="72" spans="2:33" s="9" customFormat="1" x14ac:dyDescent="0.25">
      <c r="B72" s="10"/>
      <c r="D72" s="11"/>
      <c r="AG72" s="18"/>
    </row>
    <row r="73" spans="2:33" s="9" customFormat="1" x14ac:dyDescent="0.25">
      <c r="B73" s="10"/>
      <c r="D73" s="11"/>
      <c r="AG73" s="18"/>
    </row>
    <row r="74" spans="2:33" s="9" customFormat="1" x14ac:dyDescent="0.25">
      <c r="B74" s="10"/>
      <c r="D74" s="11"/>
      <c r="AG74" s="18"/>
    </row>
    <row r="75" spans="2:33" s="9" customFormat="1" x14ac:dyDescent="0.25">
      <c r="B75" s="10"/>
      <c r="D75" s="11"/>
      <c r="AG75" s="18"/>
    </row>
    <row r="76" spans="2:33" s="9" customFormat="1" x14ac:dyDescent="0.25">
      <c r="B76" s="10"/>
      <c r="D76" s="11"/>
      <c r="AG76" s="18"/>
    </row>
    <row r="77" spans="2:33" s="9" customFormat="1" x14ac:dyDescent="0.25">
      <c r="B77" s="10"/>
      <c r="D77" s="11"/>
      <c r="AG77" s="18"/>
    </row>
    <row r="78" spans="2:33" s="9" customFormat="1" x14ac:dyDescent="0.25">
      <c r="B78" s="10"/>
      <c r="D78" s="11"/>
      <c r="AG78" s="18"/>
    </row>
    <row r="79" spans="2:33" s="9" customFormat="1" x14ac:dyDescent="0.25">
      <c r="B79" s="10"/>
      <c r="D79" s="11"/>
      <c r="AG79" s="18"/>
    </row>
    <row r="80" spans="2:33" s="9" customFormat="1" x14ac:dyDescent="0.25">
      <c r="B80" s="10"/>
      <c r="D80" s="11"/>
      <c r="AG80" s="18"/>
    </row>
    <row r="81" spans="2:33" s="9" customFormat="1" x14ac:dyDescent="0.25">
      <c r="B81" s="10"/>
      <c r="D81" s="11"/>
      <c r="AG81" s="18"/>
    </row>
    <row r="82" spans="2:33" s="9" customFormat="1" x14ac:dyDescent="0.25">
      <c r="B82" s="10"/>
      <c r="D82" s="11"/>
      <c r="AG82" s="18"/>
    </row>
    <row r="83" spans="2:33" s="9" customFormat="1" x14ac:dyDescent="0.25">
      <c r="B83" s="10"/>
      <c r="D83" s="11"/>
      <c r="AG83" s="18"/>
    </row>
    <row r="84" spans="2:33" s="9" customFormat="1" x14ac:dyDescent="0.25">
      <c r="B84" s="10"/>
      <c r="D84" s="11"/>
      <c r="AG84" s="18"/>
    </row>
    <row r="85" spans="2:33" s="9" customFormat="1" x14ac:dyDescent="0.25">
      <c r="B85" s="10"/>
      <c r="D85" s="11"/>
      <c r="AG85" s="18"/>
    </row>
    <row r="86" spans="2:33" s="9" customFormat="1" x14ac:dyDescent="0.25">
      <c r="B86" s="10"/>
      <c r="D86" s="11"/>
      <c r="AG86" s="18"/>
    </row>
    <row r="87" spans="2:33" s="9" customFormat="1" x14ac:dyDescent="0.25">
      <c r="B87" s="10"/>
      <c r="D87" s="11"/>
      <c r="AG87" s="18"/>
    </row>
    <row r="88" spans="2:33" s="9" customFormat="1" x14ac:dyDescent="0.25">
      <c r="B88" s="10"/>
      <c r="D88" s="11"/>
      <c r="AG88" s="18"/>
    </row>
    <row r="89" spans="2:33" s="9" customFormat="1" x14ac:dyDescent="0.25">
      <c r="B89" s="10"/>
      <c r="D89" s="11"/>
      <c r="AG89" s="18"/>
    </row>
    <row r="90" spans="2:33" s="9" customFormat="1" x14ac:dyDescent="0.25">
      <c r="B90" s="10"/>
      <c r="D90" s="11"/>
      <c r="AG90" s="18"/>
    </row>
    <row r="91" spans="2:33" s="9" customFormat="1" x14ac:dyDescent="0.25">
      <c r="B91" s="10"/>
      <c r="D91" s="11"/>
      <c r="AG91" s="18"/>
    </row>
    <row r="92" spans="2:33" s="9" customFormat="1" x14ac:dyDescent="0.25">
      <c r="B92" s="10"/>
      <c r="D92" s="11"/>
      <c r="AG92" s="18"/>
    </row>
    <row r="93" spans="2:33" s="9" customFormat="1" x14ac:dyDescent="0.25">
      <c r="B93" s="10"/>
      <c r="D93" s="11"/>
      <c r="AG93" s="18"/>
    </row>
    <row r="94" spans="2:33" s="9" customFormat="1" x14ac:dyDescent="0.25">
      <c r="B94" s="10"/>
      <c r="D94" s="11"/>
      <c r="AG94" s="18"/>
    </row>
    <row r="95" spans="2:33" s="9" customFormat="1" x14ac:dyDescent="0.25">
      <c r="B95" s="10"/>
      <c r="D95" s="11"/>
      <c r="AG95" s="18"/>
    </row>
    <row r="96" spans="2:33" s="9" customFormat="1" x14ac:dyDescent="0.25">
      <c r="B96" s="10"/>
      <c r="D96" s="11"/>
      <c r="AG96" s="18"/>
    </row>
    <row r="97" spans="2:33" s="9" customFormat="1" x14ac:dyDescent="0.25">
      <c r="B97" s="10"/>
      <c r="D97" s="11"/>
      <c r="AG97" s="18"/>
    </row>
    <row r="98" spans="2:33" s="9" customFormat="1" x14ac:dyDescent="0.25">
      <c r="B98" s="10"/>
      <c r="D98" s="11"/>
      <c r="AG98" s="18"/>
    </row>
    <row r="99" spans="2:33" s="9" customFormat="1" x14ac:dyDescent="0.25">
      <c r="B99" s="10"/>
      <c r="D99" s="11"/>
      <c r="AG99" s="18"/>
    </row>
    <row r="100" spans="2:33" s="9" customFormat="1" x14ac:dyDescent="0.25">
      <c r="B100" s="10"/>
      <c r="D100" s="11"/>
      <c r="AG100" s="18"/>
    </row>
    <row r="101" spans="2:33" s="9" customFormat="1" x14ac:dyDescent="0.25">
      <c r="B101" s="10"/>
      <c r="D101" s="11"/>
      <c r="AG101" s="18"/>
    </row>
    <row r="102" spans="2:33" s="9" customFormat="1" x14ac:dyDescent="0.25">
      <c r="B102" s="10"/>
      <c r="D102" s="11"/>
      <c r="AG102" s="18"/>
    </row>
    <row r="103" spans="2:33" s="9" customFormat="1" x14ac:dyDescent="0.25">
      <c r="B103" s="10"/>
      <c r="D103" s="11"/>
      <c r="AG103" s="18"/>
    </row>
    <row r="104" spans="2:33" s="9" customFormat="1" x14ac:dyDescent="0.25">
      <c r="B104" s="10"/>
      <c r="D104" s="11"/>
      <c r="AG104" s="18"/>
    </row>
    <row r="105" spans="2:33" s="9" customFormat="1" x14ac:dyDescent="0.25">
      <c r="B105" s="10"/>
      <c r="D105" s="11"/>
      <c r="AG105" s="18"/>
    </row>
    <row r="106" spans="2:33" s="9" customFormat="1" x14ac:dyDescent="0.25">
      <c r="B106" s="10"/>
      <c r="D106" s="11"/>
      <c r="AG106" s="18"/>
    </row>
    <row r="107" spans="2:33" s="9" customFormat="1" x14ac:dyDescent="0.25">
      <c r="B107" s="10"/>
      <c r="D107" s="11"/>
      <c r="AG107" s="18"/>
    </row>
    <row r="108" spans="2:33" s="9" customFormat="1" x14ac:dyDescent="0.25">
      <c r="B108" s="10"/>
      <c r="D108" s="11"/>
      <c r="AG108" s="18"/>
    </row>
    <row r="109" spans="2:33" s="9" customFormat="1" x14ac:dyDescent="0.25">
      <c r="B109" s="10"/>
      <c r="D109" s="11"/>
      <c r="AG109" s="18"/>
    </row>
    <row r="110" spans="2:33" s="9" customFormat="1" x14ac:dyDescent="0.25">
      <c r="B110" s="10"/>
      <c r="D110" s="11"/>
      <c r="AG110" s="18"/>
    </row>
    <row r="111" spans="2:33" s="9" customFormat="1" x14ac:dyDescent="0.25">
      <c r="B111" s="10"/>
      <c r="D111" s="11"/>
      <c r="AG111" s="18"/>
    </row>
    <row r="112" spans="2:33" s="9" customFormat="1" x14ac:dyDescent="0.25">
      <c r="B112" s="10"/>
      <c r="D112" s="11"/>
      <c r="AG112" s="18"/>
    </row>
    <row r="113" spans="2:33" s="9" customFormat="1" x14ac:dyDescent="0.25">
      <c r="B113" s="10"/>
      <c r="D113" s="11"/>
      <c r="AG113" s="18"/>
    </row>
    <row r="114" spans="2:33" s="9" customFormat="1" x14ac:dyDescent="0.25">
      <c r="B114" s="10"/>
      <c r="D114" s="11"/>
      <c r="AG114" s="18"/>
    </row>
    <row r="115" spans="2:33" s="9" customFormat="1" x14ac:dyDescent="0.25">
      <c r="B115" s="10"/>
      <c r="D115" s="11"/>
      <c r="AG115" s="18"/>
    </row>
    <row r="116" spans="2:33" s="9" customFormat="1" x14ac:dyDescent="0.25">
      <c r="B116" s="10"/>
      <c r="D116" s="11"/>
      <c r="AG116" s="18"/>
    </row>
    <row r="117" spans="2:33" s="9" customFormat="1" x14ac:dyDescent="0.25">
      <c r="B117" s="10"/>
      <c r="D117" s="11"/>
      <c r="AG117" s="18"/>
    </row>
    <row r="118" spans="2:33" s="9" customFormat="1" x14ac:dyDescent="0.25">
      <c r="B118" s="10"/>
      <c r="D118" s="11"/>
      <c r="AG118" s="18"/>
    </row>
    <row r="119" spans="2:33" s="9" customFormat="1" x14ac:dyDescent="0.25">
      <c r="B119" s="10"/>
      <c r="D119" s="11"/>
      <c r="AG119" s="18"/>
    </row>
    <row r="120" spans="2:33" s="9" customFormat="1" x14ac:dyDescent="0.25">
      <c r="B120" s="10"/>
      <c r="D120" s="11"/>
      <c r="AG120" s="18"/>
    </row>
    <row r="121" spans="2:33" s="9" customFormat="1" x14ac:dyDescent="0.25">
      <c r="B121" s="10"/>
      <c r="D121" s="11"/>
      <c r="AG121" s="18"/>
    </row>
    <row r="122" spans="2:33" s="9" customFormat="1" x14ac:dyDescent="0.25">
      <c r="B122" s="10"/>
      <c r="D122" s="11"/>
      <c r="AG122" s="18"/>
    </row>
    <row r="123" spans="2:33" s="9" customFormat="1" x14ac:dyDescent="0.25">
      <c r="B123" s="10"/>
      <c r="D123" s="11"/>
      <c r="AG123" s="18"/>
    </row>
    <row r="124" spans="2:33" s="9" customFormat="1" x14ac:dyDescent="0.25">
      <c r="B124" s="10"/>
      <c r="D124" s="11"/>
      <c r="AG124" s="18"/>
    </row>
    <row r="125" spans="2:33" s="9" customFormat="1" x14ac:dyDescent="0.25">
      <c r="B125" s="10"/>
      <c r="D125" s="11"/>
      <c r="AG125" s="18"/>
    </row>
    <row r="126" spans="2:33" s="9" customFormat="1" x14ac:dyDescent="0.25">
      <c r="B126" s="10"/>
      <c r="D126" s="11"/>
      <c r="AG126" s="18"/>
    </row>
    <row r="127" spans="2:33" s="9" customFormat="1" x14ac:dyDescent="0.25">
      <c r="B127" s="10"/>
      <c r="D127" s="11"/>
      <c r="AG127" s="18"/>
    </row>
    <row r="128" spans="2:33" s="9" customFormat="1" x14ac:dyDescent="0.25">
      <c r="B128" s="10"/>
      <c r="D128" s="11"/>
      <c r="AG128" s="18"/>
    </row>
    <row r="129" spans="2:33" s="9" customFormat="1" x14ac:dyDescent="0.25">
      <c r="B129" s="10"/>
      <c r="D129" s="11"/>
      <c r="AG129" s="18"/>
    </row>
    <row r="130" spans="2:33" s="9" customFormat="1" x14ac:dyDescent="0.25">
      <c r="B130" s="10"/>
      <c r="D130" s="11"/>
      <c r="AG130" s="18"/>
    </row>
    <row r="131" spans="2:33" s="9" customFormat="1" x14ac:dyDescent="0.25">
      <c r="B131" s="10"/>
      <c r="D131" s="11"/>
      <c r="AG131" s="18"/>
    </row>
    <row r="132" spans="2:33" s="9" customFormat="1" x14ac:dyDescent="0.25">
      <c r="B132" s="10"/>
      <c r="D132" s="11"/>
      <c r="AG132" s="18"/>
    </row>
    <row r="133" spans="2:33" s="9" customFormat="1" x14ac:dyDescent="0.25">
      <c r="B133" s="10"/>
      <c r="D133" s="11"/>
      <c r="AG133" s="18"/>
    </row>
    <row r="134" spans="2:33" s="9" customFormat="1" x14ac:dyDescent="0.25">
      <c r="B134" s="10"/>
      <c r="D134" s="11"/>
      <c r="AG134" s="18"/>
    </row>
    <row r="135" spans="2:33" s="9" customFormat="1" x14ac:dyDescent="0.25">
      <c r="B135" s="10"/>
      <c r="D135" s="11"/>
      <c r="AG135" s="18"/>
    </row>
    <row r="136" spans="2:33" s="9" customFormat="1" x14ac:dyDescent="0.25">
      <c r="B136" s="10"/>
      <c r="D136" s="11"/>
      <c r="AG136" s="18"/>
    </row>
    <row r="137" spans="2:33" s="9" customFormat="1" x14ac:dyDescent="0.25">
      <c r="B137" s="10"/>
      <c r="D137" s="11"/>
      <c r="AG137" s="18"/>
    </row>
    <row r="138" spans="2:33" s="9" customFormat="1" x14ac:dyDescent="0.25">
      <c r="B138" s="10"/>
      <c r="D138" s="11"/>
      <c r="AG138" s="18"/>
    </row>
    <row r="139" spans="2:33" s="9" customFormat="1" x14ac:dyDescent="0.25">
      <c r="B139" s="10"/>
      <c r="D139" s="11"/>
      <c r="AG139" s="18"/>
    </row>
    <row r="140" spans="2:33" s="9" customFormat="1" x14ac:dyDescent="0.25">
      <c r="B140" s="10"/>
      <c r="D140" s="11"/>
      <c r="AG140" s="18"/>
    </row>
    <row r="141" spans="2:33" s="9" customFormat="1" x14ac:dyDescent="0.25">
      <c r="B141" s="10"/>
      <c r="D141" s="11"/>
      <c r="AG141" s="18"/>
    </row>
    <row r="142" spans="2:33" s="9" customFormat="1" x14ac:dyDescent="0.25">
      <c r="B142" s="10"/>
      <c r="D142" s="11"/>
      <c r="AG142" s="18"/>
    </row>
    <row r="143" spans="2:33" s="9" customFormat="1" x14ac:dyDescent="0.25">
      <c r="B143" s="10"/>
      <c r="D143" s="11"/>
      <c r="AG143" s="18"/>
    </row>
    <row r="144" spans="2:33" s="9" customFormat="1" x14ac:dyDescent="0.25">
      <c r="B144" s="10"/>
      <c r="D144" s="11"/>
      <c r="AG144" s="18"/>
    </row>
    <row r="145" spans="2:33" s="9" customFormat="1" x14ac:dyDescent="0.25">
      <c r="B145" s="10"/>
      <c r="D145" s="11"/>
      <c r="AG145" s="18"/>
    </row>
    <row r="146" spans="2:33" s="9" customFormat="1" x14ac:dyDescent="0.25">
      <c r="B146" s="10"/>
      <c r="D146" s="11"/>
      <c r="AG146" s="18"/>
    </row>
    <row r="147" spans="2:33" s="9" customFormat="1" x14ac:dyDescent="0.25">
      <c r="B147" s="10"/>
      <c r="D147" s="11"/>
      <c r="AG147" s="18"/>
    </row>
    <row r="148" spans="2:33" s="9" customFormat="1" x14ac:dyDescent="0.25">
      <c r="B148" s="10"/>
      <c r="D148" s="11"/>
      <c r="AG148" s="18"/>
    </row>
    <row r="149" spans="2:33" s="9" customFormat="1" x14ac:dyDescent="0.25">
      <c r="B149" s="10"/>
      <c r="D149" s="11"/>
      <c r="AG149" s="18"/>
    </row>
    <row r="150" spans="2:33" s="9" customFormat="1" x14ac:dyDescent="0.25">
      <c r="B150" s="10"/>
      <c r="D150" s="11"/>
      <c r="AG150" s="18"/>
    </row>
    <row r="151" spans="2:33" s="9" customFormat="1" x14ac:dyDescent="0.25">
      <c r="B151" s="10"/>
      <c r="D151" s="11"/>
      <c r="AG151" s="18"/>
    </row>
    <row r="152" spans="2:33" s="9" customFormat="1" x14ac:dyDescent="0.25">
      <c r="B152" s="10"/>
      <c r="D152" s="11"/>
      <c r="AG152" s="18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I2:AJ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778C-D70D-4EDE-848A-8B72D7D7616B}">
  <sheetPr>
    <tabColor theme="5"/>
  </sheetPr>
  <dimension ref="A1:BI152"/>
  <sheetViews>
    <sheetView topLeftCell="D3" zoomScale="115" zoomScaleNormal="115" workbookViewId="0">
      <selection activeCell="E4" sqref="E4:F10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11.42578125" style="9"/>
    <col min="15" max="15" width="21.85546875" style="9" customWidth="1"/>
    <col min="16" max="16" width="7.42578125" style="9" customWidth="1"/>
    <col min="17" max="18" width="11.42578125" style="9" customWidth="1"/>
    <col min="19" max="19" width="4" style="9" customWidth="1"/>
    <col min="20" max="20" width="11.42578125" style="9"/>
    <col min="21" max="21" width="21.85546875" style="9" customWidth="1"/>
    <col min="22" max="22" width="7.42578125" style="9" customWidth="1"/>
    <col min="23" max="24" width="11.42578125" style="9" customWidth="1"/>
    <col min="25" max="25" width="4.5703125" style="9" customWidth="1"/>
    <col min="26" max="26" width="11.42578125" style="9" hidden="1" customWidth="1"/>
    <col min="27" max="27" width="21.85546875" style="9" hidden="1" customWidth="1"/>
    <col min="28" max="30" width="11.42578125" style="9" hidden="1" customWidth="1"/>
    <col min="31" max="31" width="11.42578125" style="9" customWidth="1"/>
    <col min="32" max="32" width="3.42578125" style="9" customWidth="1"/>
    <col min="33" max="33" width="0.85546875" style="18" customWidth="1"/>
    <col min="34" max="34" width="11.42578125" style="9"/>
    <col min="35" max="35" width="24" style="9" customWidth="1"/>
    <col min="36" max="61" width="11.42578125" style="9"/>
  </cols>
  <sheetData>
    <row r="1" spans="1:61" s="9" customFormat="1" x14ac:dyDescent="0.25">
      <c r="B1" s="10"/>
      <c r="D1" s="11"/>
      <c r="AG1" s="18"/>
    </row>
    <row r="2" spans="1:61" s="9" customFormat="1" ht="28.5" customHeight="1" thickBot="1" x14ac:dyDescent="0.3">
      <c r="B2" s="10"/>
      <c r="D2" s="11"/>
      <c r="AG2" s="18"/>
      <c r="AI2" s="86" t="s">
        <v>53</v>
      </c>
      <c r="AJ2" s="86"/>
      <c r="AK2" s="26"/>
      <c r="AL2" s="26"/>
      <c r="AM2" s="26"/>
    </row>
    <row r="3" spans="1:61" ht="22.5" customHeight="1" thickBot="1" x14ac:dyDescent="0.3">
      <c r="C3" s="87" t="s">
        <v>320</v>
      </c>
      <c r="D3" s="88"/>
      <c r="E3" s="88"/>
      <c r="F3" s="89"/>
      <c r="H3" s="8"/>
      <c r="I3" s="87" t="s">
        <v>321</v>
      </c>
      <c r="J3" s="88"/>
      <c r="K3" s="88"/>
      <c r="L3" s="89"/>
      <c r="N3" s="8"/>
      <c r="O3" s="87" t="s">
        <v>322</v>
      </c>
      <c r="P3" s="88"/>
      <c r="Q3" s="88"/>
      <c r="R3" s="89"/>
      <c r="T3" s="8"/>
      <c r="U3" s="87" t="s">
        <v>323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F3" s="20"/>
      <c r="AI3" s="24"/>
      <c r="AJ3" s="24"/>
      <c r="AK3" s="24"/>
      <c r="AL3" s="24"/>
      <c r="AM3" s="24"/>
    </row>
    <row r="4" spans="1:61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0</v>
      </c>
      <c r="E4" s="94"/>
      <c r="F4" s="95"/>
      <c r="G4" s="29"/>
      <c r="H4" s="91" t="s">
        <v>9</v>
      </c>
      <c r="I4" s="27" t="s">
        <v>1</v>
      </c>
      <c r="J4" s="12">
        <f>J6+J7+J8+J9+J10+J11</f>
        <v>0</v>
      </c>
      <c r="K4" s="94"/>
      <c r="L4" s="95"/>
      <c r="M4" s="29"/>
      <c r="N4" s="91" t="s">
        <v>9</v>
      </c>
      <c r="O4" s="27" t="s">
        <v>1</v>
      </c>
      <c r="P4" s="12">
        <f>P6+P7+P8+P9+P10+P11</f>
        <v>0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0"/>
      <c r="AG4" s="31"/>
      <c r="AH4" s="29"/>
      <c r="AI4" s="28" t="s">
        <v>1</v>
      </c>
      <c r="AJ4" s="25">
        <f>J4+P4+V4</f>
        <v>0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5.75" customHeight="1" x14ac:dyDescent="0.25">
      <c r="B5" s="92"/>
      <c r="C5" s="6" t="s">
        <v>0</v>
      </c>
      <c r="D5" s="16">
        <v>0</v>
      </c>
      <c r="E5" s="96"/>
      <c r="F5" s="97"/>
      <c r="H5" s="92"/>
      <c r="I5" s="6" t="s">
        <v>0</v>
      </c>
      <c r="J5" s="16">
        <v>0</v>
      </c>
      <c r="K5" s="96"/>
      <c r="L5" s="97"/>
      <c r="N5" s="92"/>
      <c r="O5" s="6" t="s">
        <v>0</v>
      </c>
      <c r="P5" s="16">
        <v>0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F5" s="17"/>
      <c r="AI5" s="6" t="s">
        <v>0</v>
      </c>
      <c r="AJ5" s="16">
        <f>J5+P5+V5</f>
        <v>0</v>
      </c>
    </row>
    <row r="6" spans="1:61" ht="15.75" customHeight="1" x14ac:dyDescent="0.25">
      <c r="B6" s="92"/>
      <c r="C6" s="2" t="s">
        <v>2</v>
      </c>
      <c r="D6" s="4">
        <v>0</v>
      </c>
      <c r="E6" s="96"/>
      <c r="F6" s="97"/>
      <c r="H6" s="92"/>
      <c r="I6" s="2" t="s">
        <v>2</v>
      </c>
      <c r="J6" s="4">
        <v>0</v>
      </c>
      <c r="K6" s="96"/>
      <c r="L6" s="97"/>
      <c r="N6" s="92"/>
      <c r="O6" s="2" t="s">
        <v>2</v>
      </c>
      <c r="P6" s="4">
        <v>0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F6" s="17"/>
      <c r="AI6" s="2" t="s">
        <v>2</v>
      </c>
      <c r="AJ6" s="4">
        <f t="shared" ref="AJ6:AJ15" si="0">+J6+P6+V6</f>
        <v>0</v>
      </c>
    </row>
    <row r="7" spans="1:61" x14ac:dyDescent="0.25">
      <c r="B7" s="92"/>
      <c r="C7" s="2" t="s">
        <v>3</v>
      </c>
      <c r="D7" s="4">
        <v>0</v>
      </c>
      <c r="E7" s="96"/>
      <c r="F7" s="97"/>
      <c r="H7" s="92"/>
      <c r="I7" s="2" t="s">
        <v>3</v>
      </c>
      <c r="J7" s="4">
        <v>0</v>
      </c>
      <c r="K7" s="96"/>
      <c r="L7" s="97"/>
      <c r="N7" s="92"/>
      <c r="O7" s="2" t="s">
        <v>3</v>
      </c>
      <c r="P7" s="4">
        <v>0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F7" s="17"/>
      <c r="AI7" s="2" t="s">
        <v>3</v>
      </c>
      <c r="AJ7" s="4">
        <f t="shared" si="0"/>
        <v>0</v>
      </c>
    </row>
    <row r="8" spans="1:61" x14ac:dyDescent="0.25">
      <c r="B8" s="92"/>
      <c r="C8" s="2" t="s">
        <v>4</v>
      </c>
      <c r="D8" s="4">
        <v>0</v>
      </c>
      <c r="E8" s="96"/>
      <c r="F8" s="97"/>
      <c r="H8" s="92"/>
      <c r="I8" s="2" t="s">
        <v>4</v>
      </c>
      <c r="J8" s="4">
        <v>0</v>
      </c>
      <c r="K8" s="96"/>
      <c r="L8" s="97"/>
      <c r="N8" s="92"/>
      <c r="O8" s="2" t="s">
        <v>4</v>
      </c>
      <c r="P8" s="4">
        <v>0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F8" s="17"/>
      <c r="AI8" s="2" t="s">
        <v>4</v>
      </c>
      <c r="AJ8" s="4">
        <f t="shared" si="0"/>
        <v>0</v>
      </c>
    </row>
    <row r="9" spans="1:61" x14ac:dyDescent="0.25">
      <c r="B9" s="92"/>
      <c r="C9" s="2" t="s">
        <v>5</v>
      </c>
      <c r="D9" s="4">
        <v>0</v>
      </c>
      <c r="E9" s="96"/>
      <c r="F9" s="97"/>
      <c r="H9" s="92"/>
      <c r="I9" s="2" t="s">
        <v>5</v>
      </c>
      <c r="J9" s="4">
        <v>0</v>
      </c>
      <c r="K9" s="96"/>
      <c r="L9" s="97"/>
      <c r="N9" s="92"/>
      <c r="O9" s="2" t="s">
        <v>5</v>
      </c>
      <c r="P9" s="4">
        <v>0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F9" s="17"/>
      <c r="AI9" s="2" t="s">
        <v>5</v>
      </c>
      <c r="AJ9" s="4">
        <f t="shared" si="0"/>
        <v>0</v>
      </c>
    </row>
    <row r="10" spans="1:61" ht="15.75" thickBot="1" x14ac:dyDescent="0.3">
      <c r="B10" s="92"/>
      <c r="C10" s="7" t="s">
        <v>6</v>
      </c>
      <c r="D10" s="15">
        <v>0</v>
      </c>
      <c r="E10" s="96"/>
      <c r="F10" s="97"/>
      <c r="H10" s="92"/>
      <c r="I10" s="7" t="s">
        <v>6</v>
      </c>
      <c r="J10" s="15">
        <v>0</v>
      </c>
      <c r="K10" s="96"/>
      <c r="L10" s="97"/>
      <c r="N10" s="92"/>
      <c r="O10" s="7" t="s">
        <v>6</v>
      </c>
      <c r="P10" s="15">
        <v>0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F10" s="17"/>
      <c r="AI10" s="7" t="s">
        <v>6</v>
      </c>
      <c r="AJ10" s="15">
        <f t="shared" si="0"/>
        <v>0</v>
      </c>
    </row>
    <row r="11" spans="1:61" ht="15.75" thickBot="1" x14ac:dyDescent="0.3">
      <c r="B11" s="92"/>
      <c r="C11" s="2" t="s">
        <v>7</v>
      </c>
      <c r="D11" s="4">
        <v>0</v>
      </c>
      <c r="E11" s="98" t="s">
        <v>33</v>
      </c>
      <c r="F11" s="99"/>
      <c r="H11" s="92"/>
      <c r="I11" s="2" t="s">
        <v>7</v>
      </c>
      <c r="J11" s="4">
        <v>0</v>
      </c>
      <c r="K11" s="98" t="s">
        <v>33</v>
      </c>
      <c r="L11" s="99"/>
      <c r="N11" s="92"/>
      <c r="O11" s="2" t="s">
        <v>7</v>
      </c>
      <c r="P11" s="4">
        <v>0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F11" s="19"/>
      <c r="AI11" s="2" t="s">
        <v>7</v>
      </c>
      <c r="AJ11" s="4">
        <f t="shared" si="0"/>
        <v>0</v>
      </c>
    </row>
    <row r="12" spans="1:61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F12" s="17"/>
      <c r="AI12" s="2" t="s">
        <v>49</v>
      </c>
      <c r="AJ12" s="4">
        <f t="shared" si="0"/>
        <v>0</v>
      </c>
    </row>
    <row r="13" spans="1:61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F13" s="17"/>
      <c r="AI13" s="2" t="s">
        <v>50</v>
      </c>
      <c r="AJ13" s="4">
        <f t="shared" si="0"/>
        <v>0</v>
      </c>
    </row>
    <row r="14" spans="1:61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F14" s="17"/>
      <c r="AI14" s="2" t="s">
        <v>51</v>
      </c>
      <c r="AJ14" s="4">
        <f t="shared" si="0"/>
        <v>0</v>
      </c>
    </row>
    <row r="15" spans="1:61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F15" s="19"/>
      <c r="AI15" s="3" t="s">
        <v>52</v>
      </c>
      <c r="AJ15" s="5">
        <f t="shared" si="0"/>
        <v>0</v>
      </c>
    </row>
    <row r="16" spans="1:61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G16" s="18"/>
    </row>
    <row r="17" spans="2:36" x14ac:dyDescent="0.25">
      <c r="B17" s="104" t="s">
        <v>28</v>
      </c>
      <c r="C17" s="6" t="s">
        <v>10</v>
      </c>
      <c r="D17" s="107" t="s">
        <v>73</v>
      </c>
      <c r="E17" s="108"/>
      <c r="F17" s="9"/>
      <c r="H17" s="104" t="s">
        <v>28</v>
      </c>
      <c r="I17" s="6" t="s">
        <v>10</v>
      </c>
      <c r="J17" s="107" t="s">
        <v>73</v>
      </c>
      <c r="K17" s="108"/>
      <c r="N17" s="104" t="s">
        <v>28</v>
      </c>
      <c r="O17" s="6" t="s">
        <v>10</v>
      </c>
      <c r="P17" s="107" t="s">
        <v>73</v>
      </c>
      <c r="Q17" s="108"/>
      <c r="T17" s="104" t="s">
        <v>28</v>
      </c>
      <c r="U17" s="6" t="s">
        <v>10</v>
      </c>
      <c r="V17" s="107" t="s">
        <v>70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6" ht="15.75" thickBot="1" x14ac:dyDescent="0.3">
      <c r="B18" s="105"/>
      <c r="C18" s="2" t="s">
        <v>11</v>
      </c>
      <c r="D18" s="100" t="s">
        <v>101</v>
      </c>
      <c r="E18" s="101"/>
      <c r="F18" s="9"/>
      <c r="H18" s="105"/>
      <c r="I18" s="2" t="s">
        <v>11</v>
      </c>
      <c r="J18" s="100" t="s">
        <v>101</v>
      </c>
      <c r="K18" s="101"/>
      <c r="N18" s="105"/>
      <c r="O18" s="2" t="s">
        <v>11</v>
      </c>
      <c r="P18" s="100" t="s">
        <v>101</v>
      </c>
      <c r="Q18" s="101"/>
      <c r="T18" s="105"/>
      <c r="U18" s="2" t="s">
        <v>11</v>
      </c>
      <c r="V18" s="100" t="s">
        <v>101</v>
      </c>
      <c r="W18" s="101"/>
      <c r="Z18" s="105"/>
      <c r="AA18" s="2" t="s">
        <v>11</v>
      </c>
      <c r="AB18" s="100" t="s">
        <v>35</v>
      </c>
      <c r="AC18" s="101"/>
    </row>
    <row r="19" spans="2:36" ht="15.75" thickBot="1" x14ac:dyDescent="0.3">
      <c r="B19" s="105"/>
      <c r="C19" s="2" t="s">
        <v>12</v>
      </c>
      <c r="D19" s="100" t="s">
        <v>262</v>
      </c>
      <c r="E19" s="101"/>
      <c r="F19" s="9"/>
      <c r="H19" s="105"/>
      <c r="I19" s="2" t="s">
        <v>12</v>
      </c>
      <c r="J19" s="100" t="s">
        <v>324</v>
      </c>
      <c r="K19" s="101"/>
      <c r="N19" s="105"/>
      <c r="O19" s="2" t="s">
        <v>12</v>
      </c>
      <c r="P19" s="100" t="s">
        <v>72</v>
      </c>
      <c r="Q19" s="101"/>
      <c r="T19" s="105"/>
      <c r="U19" s="2" t="s">
        <v>12</v>
      </c>
      <c r="V19" s="100" t="s">
        <v>72</v>
      </c>
      <c r="W19" s="101"/>
      <c r="Z19" s="105"/>
      <c r="AA19" s="2" t="s">
        <v>12</v>
      </c>
      <c r="AB19" s="100" t="s">
        <v>36</v>
      </c>
      <c r="AC19" s="101"/>
      <c r="AI19" s="51" t="s">
        <v>54</v>
      </c>
      <c r="AJ19" s="52">
        <f>+AJ20+AJ21</f>
        <v>0</v>
      </c>
    </row>
    <row r="20" spans="2:36" ht="15.75" thickBot="1" x14ac:dyDescent="0.3">
      <c r="B20" s="106"/>
      <c r="C20" s="3" t="s">
        <v>13</v>
      </c>
      <c r="D20" s="102" t="s">
        <v>325</v>
      </c>
      <c r="E20" s="103"/>
      <c r="F20" s="9"/>
      <c r="H20" s="106"/>
      <c r="I20" s="3" t="s">
        <v>13</v>
      </c>
      <c r="J20" s="102" t="s">
        <v>326</v>
      </c>
      <c r="K20" s="103"/>
      <c r="N20" s="106"/>
      <c r="O20" s="3" t="s">
        <v>13</v>
      </c>
      <c r="P20" s="102" t="s">
        <v>327</v>
      </c>
      <c r="Q20" s="103"/>
      <c r="T20" s="106"/>
      <c r="U20" s="3" t="s">
        <v>13</v>
      </c>
      <c r="V20" s="102" t="s">
        <v>328</v>
      </c>
      <c r="W20" s="103"/>
      <c r="Z20" s="106"/>
      <c r="AA20" s="3" t="s">
        <v>13</v>
      </c>
      <c r="AB20" s="102" t="s">
        <v>36</v>
      </c>
      <c r="AC20" s="103"/>
      <c r="AI20" s="49" t="s">
        <v>55</v>
      </c>
      <c r="AJ20" s="50"/>
    </row>
    <row r="21" spans="2:36" ht="15.75" thickBot="1" x14ac:dyDescent="0.3">
      <c r="B21" s="109" t="s">
        <v>29</v>
      </c>
      <c r="C21" s="6" t="s">
        <v>14</v>
      </c>
      <c r="D21" s="107" t="s">
        <v>329</v>
      </c>
      <c r="E21" s="108"/>
      <c r="F21" s="9"/>
      <c r="H21" s="109" t="s">
        <v>29</v>
      </c>
      <c r="I21" s="6" t="s">
        <v>14</v>
      </c>
      <c r="J21" s="107" t="s">
        <v>330</v>
      </c>
      <c r="K21" s="108"/>
      <c r="N21" s="109" t="s">
        <v>29</v>
      </c>
      <c r="O21" s="6" t="s">
        <v>14</v>
      </c>
      <c r="P21" s="107" t="s">
        <v>331</v>
      </c>
      <c r="Q21" s="108"/>
      <c r="T21" s="109" t="s">
        <v>29</v>
      </c>
      <c r="U21" s="6" t="s">
        <v>14</v>
      </c>
      <c r="V21" s="107" t="s">
        <v>332</v>
      </c>
      <c r="W21" s="108"/>
      <c r="Z21" s="109" t="s">
        <v>29</v>
      </c>
      <c r="AA21" s="6" t="s">
        <v>14</v>
      </c>
      <c r="AB21" s="107" t="s">
        <v>37</v>
      </c>
      <c r="AC21" s="108"/>
      <c r="AI21" s="47" t="s">
        <v>56</v>
      </c>
      <c r="AJ21" s="48"/>
    </row>
    <row r="22" spans="2:36" x14ac:dyDescent="0.25">
      <c r="B22" s="110"/>
      <c r="C22" s="2" t="s">
        <v>15</v>
      </c>
      <c r="D22" s="100" t="s">
        <v>333</v>
      </c>
      <c r="E22" s="101"/>
      <c r="F22" s="9"/>
      <c r="H22" s="110"/>
      <c r="I22" s="2" t="s">
        <v>15</v>
      </c>
      <c r="J22" s="100" t="s">
        <v>334</v>
      </c>
      <c r="K22" s="101"/>
      <c r="N22" s="110"/>
      <c r="O22" s="2" t="s">
        <v>15</v>
      </c>
      <c r="P22" s="100" t="s">
        <v>335</v>
      </c>
      <c r="Q22" s="101"/>
      <c r="T22" s="110"/>
      <c r="U22" s="2" t="s">
        <v>15</v>
      </c>
      <c r="V22" s="100" t="s">
        <v>336</v>
      </c>
      <c r="W22" s="101"/>
      <c r="Z22" s="110"/>
      <c r="AA22" s="2" t="s">
        <v>15</v>
      </c>
      <c r="AB22" s="100" t="s">
        <v>38</v>
      </c>
      <c r="AC22" s="101"/>
    </row>
    <row r="23" spans="2:36" x14ac:dyDescent="0.25">
      <c r="B23" s="110"/>
      <c r="C23" s="2" t="s">
        <v>16</v>
      </c>
      <c r="D23" s="100" t="s">
        <v>337</v>
      </c>
      <c r="E23" s="101"/>
      <c r="F23" s="9"/>
      <c r="H23" s="110"/>
      <c r="I23" s="2" t="s">
        <v>16</v>
      </c>
      <c r="J23" s="100" t="s">
        <v>338</v>
      </c>
      <c r="K23" s="101"/>
      <c r="N23" s="110"/>
      <c r="O23" s="2" t="s">
        <v>16</v>
      </c>
      <c r="P23" s="100" t="s">
        <v>339</v>
      </c>
      <c r="Q23" s="101"/>
      <c r="T23" s="110"/>
      <c r="U23" s="2" t="s">
        <v>16</v>
      </c>
      <c r="V23" s="100" t="s">
        <v>340</v>
      </c>
      <c r="W23" s="101"/>
      <c r="Z23" s="110"/>
      <c r="AA23" s="2" t="s">
        <v>16</v>
      </c>
      <c r="AB23" s="100" t="s">
        <v>39</v>
      </c>
      <c r="AC23" s="101"/>
    </row>
    <row r="24" spans="2:36" ht="15.75" thickBot="1" x14ac:dyDescent="0.3">
      <c r="B24" s="111"/>
      <c r="C24" s="3" t="s">
        <v>17</v>
      </c>
      <c r="D24" s="102" t="s">
        <v>341</v>
      </c>
      <c r="E24" s="103"/>
      <c r="F24" s="9"/>
      <c r="H24" s="111"/>
      <c r="I24" s="3" t="s">
        <v>17</v>
      </c>
      <c r="J24" s="102" t="s">
        <v>342</v>
      </c>
      <c r="K24" s="103"/>
      <c r="N24" s="111"/>
      <c r="O24" s="3" t="s">
        <v>17</v>
      </c>
      <c r="P24" s="102" t="s">
        <v>343</v>
      </c>
      <c r="Q24" s="103"/>
      <c r="T24" s="111"/>
      <c r="U24" s="3" t="s">
        <v>17</v>
      </c>
      <c r="V24" s="102" t="s">
        <v>344</v>
      </c>
      <c r="W24" s="103"/>
      <c r="Z24" s="111"/>
      <c r="AA24" s="3" t="s">
        <v>17</v>
      </c>
      <c r="AB24" s="102" t="s">
        <v>40</v>
      </c>
      <c r="AC24" s="103"/>
    </row>
    <row r="25" spans="2:36" x14ac:dyDescent="0.25">
      <c r="B25" s="109" t="s">
        <v>30</v>
      </c>
      <c r="C25" s="6" t="s">
        <v>18</v>
      </c>
      <c r="D25" s="107" t="s">
        <v>345</v>
      </c>
      <c r="E25" s="108"/>
      <c r="F25" s="9"/>
      <c r="H25" s="109" t="s">
        <v>30</v>
      </c>
      <c r="I25" s="6" t="s">
        <v>18</v>
      </c>
      <c r="J25" s="107" t="s">
        <v>346</v>
      </c>
      <c r="K25" s="108"/>
      <c r="N25" s="109" t="s">
        <v>30</v>
      </c>
      <c r="O25" s="6" t="s">
        <v>18</v>
      </c>
      <c r="P25" s="107" t="s">
        <v>347</v>
      </c>
      <c r="Q25" s="108"/>
      <c r="T25" s="109" t="s">
        <v>30</v>
      </c>
      <c r="U25" s="6" t="s">
        <v>18</v>
      </c>
      <c r="V25" s="107" t="s">
        <v>348</v>
      </c>
      <c r="W25" s="108"/>
      <c r="Z25" s="109" t="s">
        <v>30</v>
      </c>
      <c r="AA25" s="6" t="s">
        <v>18</v>
      </c>
      <c r="AB25" s="107" t="s">
        <v>41</v>
      </c>
      <c r="AC25" s="108"/>
    </row>
    <row r="26" spans="2:36" x14ac:dyDescent="0.25">
      <c r="B26" s="110"/>
      <c r="C26" s="2" t="s">
        <v>15</v>
      </c>
      <c r="D26" s="100" t="s">
        <v>38</v>
      </c>
      <c r="E26" s="101"/>
      <c r="F26" s="9"/>
      <c r="H26" s="110"/>
      <c r="I26" s="2" t="s">
        <v>15</v>
      </c>
      <c r="J26" s="100" t="s">
        <v>38</v>
      </c>
      <c r="K26" s="101"/>
      <c r="N26" s="110"/>
      <c r="O26" s="2" t="s">
        <v>15</v>
      </c>
      <c r="P26" s="100" t="s">
        <v>349</v>
      </c>
      <c r="Q26" s="101"/>
      <c r="T26" s="110"/>
      <c r="U26" s="2" t="s">
        <v>15</v>
      </c>
      <c r="V26" s="100" t="s">
        <v>336</v>
      </c>
      <c r="W26" s="101"/>
      <c r="Z26" s="110"/>
      <c r="AA26" s="2" t="s">
        <v>15</v>
      </c>
      <c r="AB26" s="100" t="s">
        <v>38</v>
      </c>
      <c r="AC26" s="101"/>
    </row>
    <row r="27" spans="2:36" x14ac:dyDescent="0.25">
      <c r="B27" s="110"/>
      <c r="C27" s="2" t="s">
        <v>16</v>
      </c>
      <c r="D27" s="100" t="s">
        <v>39</v>
      </c>
      <c r="E27" s="101"/>
      <c r="F27" s="9"/>
      <c r="H27" s="110"/>
      <c r="I27" s="2" t="s">
        <v>16</v>
      </c>
      <c r="J27" s="100" t="s">
        <v>39</v>
      </c>
      <c r="K27" s="101"/>
      <c r="N27" s="110"/>
      <c r="O27" s="2" t="s">
        <v>16</v>
      </c>
      <c r="P27" s="100">
        <v>4128269486</v>
      </c>
      <c r="Q27" s="101"/>
      <c r="T27" s="110"/>
      <c r="U27" s="2" t="s">
        <v>16</v>
      </c>
      <c r="V27" s="100" t="s">
        <v>350</v>
      </c>
      <c r="W27" s="101"/>
      <c r="Z27" s="110"/>
      <c r="AA27" s="2" t="s">
        <v>16</v>
      </c>
      <c r="AB27" s="100" t="s">
        <v>39</v>
      </c>
      <c r="AC27" s="101"/>
    </row>
    <row r="28" spans="2:36" x14ac:dyDescent="0.25">
      <c r="B28" s="110"/>
      <c r="C28" s="2" t="s">
        <v>19</v>
      </c>
      <c r="D28" s="100" t="s">
        <v>351</v>
      </c>
      <c r="E28" s="101"/>
      <c r="F28" s="9"/>
      <c r="H28" s="110"/>
      <c r="I28" s="2" t="s">
        <v>19</v>
      </c>
      <c r="J28" s="100" t="s">
        <v>352</v>
      </c>
      <c r="K28" s="101"/>
      <c r="N28" s="110"/>
      <c r="O28" s="2" t="s">
        <v>19</v>
      </c>
      <c r="P28" s="100" t="s">
        <v>353</v>
      </c>
      <c r="Q28" s="101"/>
      <c r="T28" s="110"/>
      <c r="U28" s="2" t="s">
        <v>19</v>
      </c>
      <c r="V28" s="100" t="s">
        <v>354</v>
      </c>
      <c r="W28" s="101"/>
      <c r="Z28" s="110"/>
      <c r="AA28" s="2" t="s">
        <v>19</v>
      </c>
      <c r="AB28" s="100" t="s">
        <v>42</v>
      </c>
      <c r="AC28" s="101"/>
    </row>
    <row r="29" spans="2:36" x14ac:dyDescent="0.25">
      <c r="B29" s="110"/>
      <c r="C29" s="2" t="s">
        <v>20</v>
      </c>
      <c r="D29" s="100" t="s">
        <v>355</v>
      </c>
      <c r="E29" s="101"/>
      <c r="F29" s="9"/>
      <c r="H29" s="110"/>
      <c r="I29" s="2" t="s">
        <v>20</v>
      </c>
      <c r="J29" s="100" t="s">
        <v>8</v>
      </c>
      <c r="K29" s="101"/>
      <c r="N29" s="110"/>
      <c r="O29" s="2" t="s">
        <v>20</v>
      </c>
      <c r="P29" s="100">
        <v>2</v>
      </c>
      <c r="Q29" s="101"/>
      <c r="T29" s="110"/>
      <c r="U29" s="2" t="s">
        <v>20</v>
      </c>
      <c r="V29" s="100">
        <v>3</v>
      </c>
      <c r="W29" s="101"/>
      <c r="Z29" s="110"/>
      <c r="AA29" s="2" t="s">
        <v>20</v>
      </c>
      <c r="AB29" s="100" t="s">
        <v>8</v>
      </c>
      <c r="AC29" s="101"/>
    </row>
    <row r="30" spans="2:36" ht="15.75" thickBot="1" x14ac:dyDescent="0.3">
      <c r="B30" s="111"/>
      <c r="C30" s="3" t="s">
        <v>21</v>
      </c>
      <c r="D30" s="102" t="s">
        <v>355</v>
      </c>
      <c r="E30" s="103"/>
      <c r="F30" s="9"/>
      <c r="H30" s="111"/>
      <c r="I30" s="3" t="s">
        <v>21</v>
      </c>
      <c r="J30" s="102" t="s">
        <v>8</v>
      </c>
      <c r="K30" s="103"/>
      <c r="N30" s="111"/>
      <c r="O30" s="3" t="s">
        <v>21</v>
      </c>
      <c r="P30" s="102">
        <v>1</v>
      </c>
      <c r="Q30" s="103"/>
      <c r="T30" s="111"/>
      <c r="U30" s="3" t="s">
        <v>21</v>
      </c>
      <c r="V30" s="102" t="s">
        <v>356</v>
      </c>
      <c r="W30" s="103"/>
      <c r="Z30" s="111"/>
      <c r="AA30" s="3" t="s">
        <v>21</v>
      </c>
      <c r="AB30" s="102" t="s">
        <v>8</v>
      </c>
      <c r="AC30" s="103"/>
    </row>
    <row r="31" spans="2:36" x14ac:dyDescent="0.25">
      <c r="B31" s="104" t="s">
        <v>32</v>
      </c>
      <c r="C31" s="6" t="s">
        <v>23</v>
      </c>
      <c r="D31" s="107" t="s">
        <v>345</v>
      </c>
      <c r="E31" s="108"/>
      <c r="F31" s="9"/>
      <c r="H31" s="104" t="s">
        <v>32</v>
      </c>
      <c r="I31" s="6" t="s">
        <v>23</v>
      </c>
      <c r="J31" s="107" t="s">
        <v>345</v>
      </c>
      <c r="K31" s="108"/>
      <c r="N31" s="104" t="s">
        <v>32</v>
      </c>
      <c r="O31" s="6" t="s">
        <v>23</v>
      </c>
      <c r="P31" s="107" t="s">
        <v>345</v>
      </c>
      <c r="Q31" s="108"/>
      <c r="T31" s="104" t="s">
        <v>32</v>
      </c>
      <c r="U31" s="6" t="s">
        <v>23</v>
      </c>
      <c r="V31" s="107" t="s">
        <v>345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6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88</v>
      </c>
      <c r="K32" s="113"/>
      <c r="N32" s="105"/>
      <c r="O32" s="2" t="s">
        <v>24</v>
      </c>
      <c r="P32" s="112" t="s">
        <v>88</v>
      </c>
      <c r="Q32" s="113"/>
      <c r="T32" s="105"/>
      <c r="U32" s="2" t="s">
        <v>24</v>
      </c>
      <c r="V32" s="112" t="s">
        <v>88</v>
      </c>
      <c r="W32" s="113"/>
      <c r="Z32" s="105"/>
      <c r="AA32" s="2" t="s">
        <v>24</v>
      </c>
      <c r="AB32" s="112" t="s">
        <v>22</v>
      </c>
      <c r="AC32" s="113"/>
    </row>
    <row r="33" spans="2:33" x14ac:dyDescent="0.25">
      <c r="B33" s="105"/>
      <c r="C33" s="2" t="s">
        <v>25</v>
      </c>
      <c r="D33" s="112" t="s">
        <v>88</v>
      </c>
      <c r="E33" s="113"/>
      <c r="F33" s="9"/>
      <c r="H33" s="105"/>
      <c r="I33" s="2" t="s">
        <v>25</v>
      </c>
      <c r="J33" s="112" t="s">
        <v>88</v>
      </c>
      <c r="K33" s="113"/>
      <c r="N33" s="105"/>
      <c r="O33" s="2" t="s">
        <v>25</v>
      </c>
      <c r="P33" s="112" t="s">
        <v>88</v>
      </c>
      <c r="Q33" s="113"/>
      <c r="T33" s="105"/>
      <c r="U33" s="2" t="s">
        <v>25</v>
      </c>
      <c r="V33" s="112" t="s">
        <v>88</v>
      </c>
      <c r="W33" s="113"/>
      <c r="Z33" s="105"/>
      <c r="AA33" s="2" t="s">
        <v>25</v>
      </c>
      <c r="AB33" s="112" t="s">
        <v>22</v>
      </c>
      <c r="AC33" s="113"/>
    </row>
    <row r="34" spans="2:33" ht="15.75" thickBot="1" x14ac:dyDescent="0.3">
      <c r="B34" s="105"/>
      <c r="C34" s="7" t="s">
        <v>26</v>
      </c>
      <c r="D34" s="112" t="s">
        <v>88</v>
      </c>
      <c r="E34" s="113"/>
      <c r="F34" s="9"/>
      <c r="H34" s="105"/>
      <c r="I34" s="7" t="s">
        <v>26</v>
      </c>
      <c r="J34" s="114" t="s">
        <v>88</v>
      </c>
      <c r="K34" s="115"/>
      <c r="N34" s="105"/>
      <c r="O34" s="7" t="s">
        <v>26</v>
      </c>
      <c r="P34" s="114" t="s">
        <v>88</v>
      </c>
      <c r="Q34" s="115"/>
      <c r="T34" s="105"/>
      <c r="U34" s="7" t="s">
        <v>26</v>
      </c>
      <c r="V34" s="114" t="s">
        <v>88</v>
      </c>
      <c r="W34" s="115"/>
      <c r="Z34" s="105"/>
      <c r="AA34" s="7" t="s">
        <v>26</v>
      </c>
      <c r="AB34" s="114" t="s">
        <v>22</v>
      </c>
      <c r="AC34" s="115"/>
    </row>
    <row r="35" spans="2:33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  <c r="AF35" s="21"/>
    </row>
    <row r="36" spans="2:33" x14ac:dyDescent="0.25">
      <c r="B36" s="110"/>
      <c r="C36" s="119" t="s">
        <v>357</v>
      </c>
      <c r="D36" s="120"/>
      <c r="E36" s="120"/>
      <c r="F36" s="121"/>
      <c r="H36" s="110"/>
      <c r="I36" s="119" t="s">
        <v>358</v>
      </c>
      <c r="J36" s="120"/>
      <c r="K36" s="120"/>
      <c r="L36" s="121"/>
      <c r="N36" s="110"/>
      <c r="O36" s="119" t="s">
        <v>359</v>
      </c>
      <c r="P36" s="120"/>
      <c r="Q36" s="120"/>
      <c r="R36" s="121"/>
      <c r="T36" s="110"/>
      <c r="U36" s="119" t="s">
        <v>360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  <c r="AF36" s="22"/>
    </row>
    <row r="37" spans="2:33" x14ac:dyDescent="0.25">
      <c r="B37" s="110"/>
      <c r="C37" s="122" t="s">
        <v>361</v>
      </c>
      <c r="D37" s="123"/>
      <c r="E37" s="123"/>
      <c r="F37" s="124"/>
      <c r="H37" s="110"/>
      <c r="I37" s="122" t="s">
        <v>360</v>
      </c>
      <c r="J37" s="123"/>
      <c r="K37" s="123"/>
      <c r="L37" s="124"/>
      <c r="N37" s="110"/>
      <c r="O37" s="122" t="s">
        <v>362</v>
      </c>
      <c r="P37" s="123"/>
      <c r="Q37" s="123"/>
      <c r="R37" s="124"/>
      <c r="T37" s="110"/>
      <c r="U37" s="122" t="s">
        <v>363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  <c r="AF37" s="22"/>
    </row>
    <row r="38" spans="2:33" x14ac:dyDescent="0.25">
      <c r="B38" s="110"/>
      <c r="C38" s="122" t="s">
        <v>364</v>
      </c>
      <c r="D38" s="123"/>
      <c r="E38" s="123"/>
      <c r="F38" s="124"/>
      <c r="H38" s="110"/>
      <c r="I38" s="122" t="s">
        <v>365</v>
      </c>
      <c r="J38" s="123"/>
      <c r="K38" s="123"/>
      <c r="L38" s="124"/>
      <c r="N38" s="110"/>
      <c r="O38" s="122" t="s">
        <v>366</v>
      </c>
      <c r="P38" s="123"/>
      <c r="Q38" s="123"/>
      <c r="R38" s="124"/>
      <c r="T38" s="110"/>
      <c r="U38" s="122" t="s">
        <v>367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  <c r="AF38" s="22"/>
    </row>
    <row r="39" spans="2:33" ht="15.75" thickBot="1" x14ac:dyDescent="0.3">
      <c r="B39" s="111"/>
      <c r="C39" s="125" t="s">
        <v>368</v>
      </c>
      <c r="D39" s="126"/>
      <c r="E39" s="126"/>
      <c r="F39" s="127"/>
      <c r="H39" s="111"/>
      <c r="I39" s="125" t="s">
        <v>43</v>
      </c>
      <c r="J39" s="126"/>
      <c r="K39" s="126"/>
      <c r="L39" s="127"/>
      <c r="N39" s="111"/>
      <c r="O39" s="125" t="s">
        <v>369</v>
      </c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  <c r="AF39" s="22"/>
    </row>
    <row r="40" spans="2:33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G40" s="18"/>
    </row>
    <row r="41" spans="2:33" s="9" customFormat="1" x14ac:dyDescent="0.25">
      <c r="B41" s="10"/>
      <c r="C41" s="13" t="s">
        <v>44</v>
      </c>
      <c r="D41" s="130" t="s">
        <v>370</v>
      </c>
      <c r="E41" s="131"/>
      <c r="F41" s="132"/>
      <c r="H41" s="10"/>
      <c r="I41" s="13" t="s">
        <v>44</v>
      </c>
      <c r="J41" s="130" t="s">
        <v>370</v>
      </c>
      <c r="K41" s="131"/>
      <c r="L41" s="132"/>
      <c r="N41" s="10"/>
      <c r="O41" s="13" t="s">
        <v>44</v>
      </c>
      <c r="P41" s="130" t="s">
        <v>370</v>
      </c>
      <c r="Q41" s="131"/>
      <c r="R41" s="132"/>
      <c r="T41" s="10"/>
      <c r="U41" s="13" t="s">
        <v>44</v>
      </c>
      <c r="V41" s="130" t="s">
        <v>370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23"/>
      <c r="AG41" s="18"/>
    </row>
    <row r="42" spans="2:33" s="9" customFormat="1" ht="15.75" thickBot="1" x14ac:dyDescent="0.3">
      <c r="B42" s="10"/>
      <c r="C42" s="14" t="s">
        <v>45</v>
      </c>
      <c r="D42" s="128" t="s">
        <v>371</v>
      </c>
      <c r="E42" s="128"/>
      <c r="F42" s="129"/>
      <c r="H42" s="10"/>
      <c r="I42" s="14" t="s">
        <v>45</v>
      </c>
      <c r="J42" s="128" t="s">
        <v>371</v>
      </c>
      <c r="K42" s="128"/>
      <c r="L42" s="129"/>
      <c r="N42" s="10"/>
      <c r="O42" s="14" t="s">
        <v>45</v>
      </c>
      <c r="P42" s="128" t="s">
        <v>371</v>
      </c>
      <c r="Q42" s="128"/>
      <c r="R42" s="129"/>
      <c r="T42" s="10"/>
      <c r="U42" s="14" t="s">
        <v>45</v>
      </c>
      <c r="V42" s="128" t="s">
        <v>371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23"/>
      <c r="AG42" s="18"/>
    </row>
    <row r="43" spans="2:33" s="9" customFormat="1" x14ac:dyDescent="0.25">
      <c r="B43" s="10"/>
      <c r="D43" s="11"/>
      <c r="AG43" s="18"/>
    </row>
    <row r="44" spans="2:33" s="9" customFormat="1" x14ac:dyDescent="0.25">
      <c r="B44" s="10"/>
      <c r="D44" s="11"/>
      <c r="AG44" s="18"/>
    </row>
    <row r="45" spans="2:33" s="9" customFormat="1" x14ac:dyDescent="0.25">
      <c r="B45" s="10"/>
      <c r="D45" s="11"/>
      <c r="AG45" s="18"/>
    </row>
    <row r="46" spans="2:33" s="9" customFormat="1" x14ac:dyDescent="0.25">
      <c r="B46" s="10"/>
      <c r="D46" s="11"/>
      <c r="AG46" s="18"/>
    </row>
    <row r="47" spans="2:33" s="9" customFormat="1" x14ac:dyDescent="0.25">
      <c r="B47" s="10"/>
      <c r="D47" s="11"/>
      <c r="AG47" s="18"/>
    </row>
    <row r="48" spans="2:33" s="9" customFormat="1" x14ac:dyDescent="0.25">
      <c r="B48" s="10"/>
      <c r="D48" s="11"/>
      <c r="AG48" s="18"/>
    </row>
    <row r="49" spans="2:33" s="9" customFormat="1" x14ac:dyDescent="0.25">
      <c r="B49" s="10"/>
      <c r="D49" s="11"/>
      <c r="AG49" s="18"/>
    </row>
    <row r="50" spans="2:33" s="9" customFormat="1" x14ac:dyDescent="0.25">
      <c r="B50" s="10"/>
      <c r="D50" s="11"/>
      <c r="AG50" s="18"/>
    </row>
    <row r="51" spans="2:33" s="9" customFormat="1" x14ac:dyDescent="0.25">
      <c r="B51" s="10"/>
      <c r="D51" s="11"/>
      <c r="AG51" s="18"/>
    </row>
    <row r="52" spans="2:33" s="9" customFormat="1" x14ac:dyDescent="0.25">
      <c r="B52" s="10"/>
      <c r="D52" s="11"/>
      <c r="AG52" s="18"/>
    </row>
    <row r="53" spans="2:33" s="9" customFormat="1" x14ac:dyDescent="0.25">
      <c r="B53" s="10"/>
      <c r="D53" s="11"/>
      <c r="AG53" s="18"/>
    </row>
    <row r="54" spans="2:33" s="9" customFormat="1" x14ac:dyDescent="0.25">
      <c r="B54" s="10"/>
      <c r="D54" s="11"/>
      <c r="AG54" s="18"/>
    </row>
    <row r="55" spans="2:33" s="9" customFormat="1" x14ac:dyDescent="0.25">
      <c r="B55" s="10"/>
      <c r="D55" s="11"/>
      <c r="AG55" s="18"/>
    </row>
    <row r="56" spans="2:33" s="9" customFormat="1" x14ac:dyDescent="0.25">
      <c r="B56" s="10"/>
      <c r="D56" s="11"/>
      <c r="AG56" s="18"/>
    </row>
    <row r="57" spans="2:33" s="9" customFormat="1" x14ac:dyDescent="0.25">
      <c r="B57" s="10"/>
      <c r="D57" s="11"/>
      <c r="AG57" s="18"/>
    </row>
    <row r="58" spans="2:33" s="9" customFormat="1" x14ac:dyDescent="0.25">
      <c r="B58" s="10"/>
      <c r="D58" s="11"/>
      <c r="AG58" s="18"/>
    </row>
    <row r="59" spans="2:33" s="9" customFormat="1" x14ac:dyDescent="0.25">
      <c r="B59" s="10"/>
      <c r="D59" s="11"/>
      <c r="AG59" s="18"/>
    </row>
    <row r="60" spans="2:33" s="9" customFormat="1" x14ac:dyDescent="0.25">
      <c r="B60" s="10"/>
      <c r="D60" s="11"/>
      <c r="AG60" s="18"/>
    </row>
    <row r="61" spans="2:33" s="9" customFormat="1" x14ac:dyDescent="0.25">
      <c r="B61" s="10"/>
      <c r="D61" s="11"/>
      <c r="AG61" s="18"/>
    </row>
    <row r="62" spans="2:33" s="9" customFormat="1" x14ac:dyDescent="0.25">
      <c r="B62" s="10"/>
      <c r="D62" s="11"/>
      <c r="AG62" s="18"/>
    </row>
    <row r="63" spans="2:33" s="9" customFormat="1" x14ac:dyDescent="0.25">
      <c r="B63" s="10"/>
      <c r="D63" s="11"/>
      <c r="AG63" s="18"/>
    </row>
    <row r="64" spans="2:33" s="9" customFormat="1" x14ac:dyDescent="0.25">
      <c r="B64" s="10"/>
      <c r="D64" s="11"/>
      <c r="AG64" s="18"/>
    </row>
    <row r="65" spans="2:33" s="9" customFormat="1" x14ac:dyDescent="0.25">
      <c r="B65" s="10"/>
      <c r="D65" s="11"/>
      <c r="AG65" s="18"/>
    </row>
    <row r="66" spans="2:33" s="9" customFormat="1" x14ac:dyDescent="0.25">
      <c r="B66" s="10"/>
      <c r="D66" s="11"/>
      <c r="AG66" s="18"/>
    </row>
    <row r="67" spans="2:33" s="9" customFormat="1" x14ac:dyDescent="0.25">
      <c r="B67" s="10"/>
      <c r="D67" s="11"/>
      <c r="AG67" s="18"/>
    </row>
    <row r="68" spans="2:33" s="9" customFormat="1" x14ac:dyDescent="0.25">
      <c r="B68" s="10"/>
      <c r="D68" s="11"/>
      <c r="AG68" s="18"/>
    </row>
    <row r="69" spans="2:33" s="9" customFormat="1" x14ac:dyDescent="0.25">
      <c r="B69" s="10"/>
      <c r="D69" s="11"/>
      <c r="AG69" s="18"/>
    </row>
    <row r="70" spans="2:33" s="9" customFormat="1" x14ac:dyDescent="0.25">
      <c r="B70" s="10"/>
      <c r="D70" s="11"/>
      <c r="AG70" s="18"/>
    </row>
    <row r="71" spans="2:33" s="9" customFormat="1" x14ac:dyDescent="0.25">
      <c r="B71" s="10"/>
      <c r="D71" s="11"/>
      <c r="AG71" s="18"/>
    </row>
    <row r="72" spans="2:33" s="9" customFormat="1" x14ac:dyDescent="0.25">
      <c r="B72" s="10"/>
      <c r="D72" s="11"/>
      <c r="AG72" s="18"/>
    </row>
    <row r="73" spans="2:33" s="9" customFormat="1" x14ac:dyDescent="0.25">
      <c r="B73" s="10"/>
      <c r="D73" s="11"/>
      <c r="AG73" s="18"/>
    </row>
    <row r="74" spans="2:33" s="9" customFormat="1" x14ac:dyDescent="0.25">
      <c r="B74" s="10"/>
      <c r="D74" s="11"/>
      <c r="AG74" s="18"/>
    </row>
    <row r="75" spans="2:33" s="9" customFormat="1" x14ac:dyDescent="0.25">
      <c r="B75" s="10"/>
      <c r="D75" s="11"/>
      <c r="AG75" s="18"/>
    </row>
    <row r="76" spans="2:33" s="9" customFormat="1" x14ac:dyDescent="0.25">
      <c r="B76" s="10"/>
      <c r="D76" s="11"/>
      <c r="AG76" s="18"/>
    </row>
    <row r="77" spans="2:33" s="9" customFormat="1" x14ac:dyDescent="0.25">
      <c r="B77" s="10"/>
      <c r="D77" s="11"/>
      <c r="AG77" s="18"/>
    </row>
    <row r="78" spans="2:33" s="9" customFormat="1" x14ac:dyDescent="0.25">
      <c r="B78" s="10"/>
      <c r="D78" s="11"/>
      <c r="AG78" s="18"/>
    </row>
    <row r="79" spans="2:33" s="9" customFormat="1" x14ac:dyDescent="0.25">
      <c r="B79" s="10"/>
      <c r="D79" s="11"/>
      <c r="AG79" s="18"/>
    </row>
    <row r="80" spans="2:33" s="9" customFormat="1" x14ac:dyDescent="0.25">
      <c r="B80" s="10"/>
      <c r="D80" s="11"/>
      <c r="AG80" s="18"/>
    </row>
    <row r="81" spans="2:33" s="9" customFormat="1" x14ac:dyDescent="0.25">
      <c r="B81" s="10"/>
      <c r="D81" s="11"/>
      <c r="AG81" s="18"/>
    </row>
    <row r="82" spans="2:33" s="9" customFormat="1" x14ac:dyDescent="0.25">
      <c r="B82" s="10"/>
      <c r="D82" s="11"/>
      <c r="AG82" s="18"/>
    </row>
    <row r="83" spans="2:33" s="9" customFormat="1" x14ac:dyDescent="0.25">
      <c r="B83" s="10"/>
      <c r="D83" s="11"/>
      <c r="AG83" s="18"/>
    </row>
    <row r="84" spans="2:33" s="9" customFormat="1" x14ac:dyDescent="0.25">
      <c r="B84" s="10"/>
      <c r="D84" s="11"/>
      <c r="AG84" s="18"/>
    </row>
    <row r="85" spans="2:33" s="9" customFormat="1" x14ac:dyDescent="0.25">
      <c r="B85" s="10"/>
      <c r="D85" s="11"/>
      <c r="AG85" s="18"/>
    </row>
    <row r="86" spans="2:33" s="9" customFormat="1" x14ac:dyDescent="0.25">
      <c r="B86" s="10"/>
      <c r="D86" s="11"/>
      <c r="AG86" s="18"/>
    </row>
    <row r="87" spans="2:33" s="9" customFormat="1" x14ac:dyDescent="0.25">
      <c r="B87" s="10"/>
      <c r="D87" s="11"/>
      <c r="AG87" s="18"/>
    </row>
    <row r="88" spans="2:33" s="9" customFormat="1" x14ac:dyDescent="0.25">
      <c r="B88" s="10"/>
      <c r="D88" s="11"/>
      <c r="AG88" s="18"/>
    </row>
    <row r="89" spans="2:33" s="9" customFormat="1" x14ac:dyDescent="0.25">
      <c r="B89" s="10"/>
      <c r="D89" s="11"/>
      <c r="AG89" s="18"/>
    </row>
    <row r="90" spans="2:33" s="9" customFormat="1" x14ac:dyDescent="0.25">
      <c r="B90" s="10"/>
      <c r="D90" s="11"/>
      <c r="AG90" s="18"/>
    </row>
    <row r="91" spans="2:33" s="9" customFormat="1" x14ac:dyDescent="0.25">
      <c r="B91" s="10"/>
      <c r="D91" s="11"/>
      <c r="AG91" s="18"/>
    </row>
    <row r="92" spans="2:33" s="9" customFormat="1" x14ac:dyDescent="0.25">
      <c r="B92" s="10"/>
      <c r="D92" s="11"/>
      <c r="AG92" s="18"/>
    </row>
    <row r="93" spans="2:33" s="9" customFormat="1" x14ac:dyDescent="0.25">
      <c r="B93" s="10"/>
      <c r="D93" s="11"/>
      <c r="AG93" s="18"/>
    </row>
    <row r="94" spans="2:33" s="9" customFormat="1" x14ac:dyDescent="0.25">
      <c r="B94" s="10"/>
      <c r="D94" s="11"/>
      <c r="AG94" s="18"/>
    </row>
    <row r="95" spans="2:33" s="9" customFormat="1" x14ac:dyDescent="0.25">
      <c r="B95" s="10"/>
      <c r="D95" s="11"/>
      <c r="AG95" s="18"/>
    </row>
    <row r="96" spans="2:33" s="9" customFormat="1" x14ac:dyDescent="0.25">
      <c r="B96" s="10"/>
      <c r="D96" s="11"/>
      <c r="AG96" s="18"/>
    </row>
    <row r="97" spans="2:33" s="9" customFormat="1" x14ac:dyDescent="0.25">
      <c r="B97" s="10"/>
      <c r="D97" s="11"/>
      <c r="AG97" s="18"/>
    </row>
    <row r="98" spans="2:33" s="9" customFormat="1" x14ac:dyDescent="0.25">
      <c r="B98" s="10"/>
      <c r="D98" s="11"/>
      <c r="AG98" s="18"/>
    </row>
    <row r="99" spans="2:33" s="9" customFormat="1" x14ac:dyDescent="0.25">
      <c r="B99" s="10"/>
      <c r="D99" s="11"/>
      <c r="AG99" s="18"/>
    </row>
    <row r="100" spans="2:33" s="9" customFormat="1" x14ac:dyDescent="0.25">
      <c r="B100" s="10"/>
      <c r="D100" s="11"/>
      <c r="AG100" s="18"/>
    </row>
    <row r="101" spans="2:33" s="9" customFormat="1" x14ac:dyDescent="0.25">
      <c r="B101" s="10"/>
      <c r="D101" s="11"/>
      <c r="AG101" s="18"/>
    </row>
    <row r="102" spans="2:33" s="9" customFormat="1" x14ac:dyDescent="0.25">
      <c r="B102" s="10"/>
      <c r="D102" s="11"/>
      <c r="AG102" s="18"/>
    </row>
    <row r="103" spans="2:33" s="9" customFormat="1" x14ac:dyDescent="0.25">
      <c r="B103" s="10"/>
      <c r="D103" s="11"/>
      <c r="AG103" s="18"/>
    </row>
    <row r="104" spans="2:33" s="9" customFormat="1" x14ac:dyDescent="0.25">
      <c r="B104" s="10"/>
      <c r="D104" s="11"/>
      <c r="AG104" s="18"/>
    </row>
    <row r="105" spans="2:33" s="9" customFormat="1" x14ac:dyDescent="0.25">
      <c r="B105" s="10"/>
      <c r="D105" s="11"/>
      <c r="AG105" s="18"/>
    </row>
    <row r="106" spans="2:33" s="9" customFormat="1" x14ac:dyDescent="0.25">
      <c r="B106" s="10"/>
      <c r="D106" s="11"/>
      <c r="AG106" s="18"/>
    </row>
    <row r="107" spans="2:33" s="9" customFormat="1" x14ac:dyDescent="0.25">
      <c r="B107" s="10"/>
      <c r="D107" s="11"/>
      <c r="AG107" s="18"/>
    </row>
    <row r="108" spans="2:33" s="9" customFormat="1" x14ac:dyDescent="0.25">
      <c r="B108" s="10"/>
      <c r="D108" s="11"/>
      <c r="AG108" s="18"/>
    </row>
    <row r="109" spans="2:33" s="9" customFormat="1" x14ac:dyDescent="0.25">
      <c r="B109" s="10"/>
      <c r="D109" s="11"/>
      <c r="AG109" s="18"/>
    </row>
    <row r="110" spans="2:33" s="9" customFormat="1" x14ac:dyDescent="0.25">
      <c r="B110" s="10"/>
      <c r="D110" s="11"/>
      <c r="AG110" s="18"/>
    </row>
    <row r="111" spans="2:33" s="9" customFormat="1" x14ac:dyDescent="0.25">
      <c r="B111" s="10"/>
      <c r="D111" s="11"/>
      <c r="AG111" s="18"/>
    </row>
    <row r="112" spans="2:33" s="9" customFormat="1" x14ac:dyDescent="0.25">
      <c r="B112" s="10"/>
      <c r="D112" s="11"/>
      <c r="AG112" s="18"/>
    </row>
    <row r="113" spans="2:33" s="9" customFormat="1" x14ac:dyDescent="0.25">
      <c r="B113" s="10"/>
      <c r="D113" s="11"/>
      <c r="AG113" s="18"/>
    </row>
    <row r="114" spans="2:33" s="9" customFormat="1" x14ac:dyDescent="0.25">
      <c r="B114" s="10"/>
      <c r="D114" s="11"/>
      <c r="AG114" s="18"/>
    </row>
    <row r="115" spans="2:33" s="9" customFormat="1" x14ac:dyDescent="0.25">
      <c r="B115" s="10"/>
      <c r="D115" s="11"/>
      <c r="AG115" s="18"/>
    </row>
    <row r="116" spans="2:33" s="9" customFormat="1" x14ac:dyDescent="0.25">
      <c r="B116" s="10"/>
      <c r="D116" s="11"/>
      <c r="AG116" s="18"/>
    </row>
    <row r="117" spans="2:33" s="9" customFormat="1" x14ac:dyDescent="0.25">
      <c r="B117" s="10"/>
      <c r="D117" s="11"/>
      <c r="AG117" s="18"/>
    </row>
    <row r="118" spans="2:33" s="9" customFormat="1" x14ac:dyDescent="0.25">
      <c r="B118" s="10"/>
      <c r="D118" s="11"/>
      <c r="AG118" s="18"/>
    </row>
    <row r="119" spans="2:33" s="9" customFormat="1" x14ac:dyDescent="0.25">
      <c r="B119" s="10"/>
      <c r="D119" s="11"/>
      <c r="AG119" s="18"/>
    </row>
    <row r="120" spans="2:33" s="9" customFormat="1" x14ac:dyDescent="0.25">
      <c r="B120" s="10"/>
      <c r="D120" s="11"/>
      <c r="AG120" s="18"/>
    </row>
    <row r="121" spans="2:33" s="9" customFormat="1" x14ac:dyDescent="0.25">
      <c r="B121" s="10"/>
      <c r="D121" s="11"/>
      <c r="AG121" s="18"/>
    </row>
    <row r="122" spans="2:33" s="9" customFormat="1" x14ac:dyDescent="0.25">
      <c r="B122" s="10"/>
      <c r="D122" s="11"/>
      <c r="AG122" s="18"/>
    </row>
    <row r="123" spans="2:33" s="9" customFormat="1" x14ac:dyDescent="0.25">
      <c r="B123" s="10"/>
      <c r="D123" s="11"/>
      <c r="AG123" s="18"/>
    </row>
    <row r="124" spans="2:33" s="9" customFormat="1" x14ac:dyDescent="0.25">
      <c r="B124" s="10"/>
      <c r="D124" s="11"/>
      <c r="AG124" s="18"/>
    </row>
    <row r="125" spans="2:33" s="9" customFormat="1" x14ac:dyDescent="0.25">
      <c r="B125" s="10"/>
      <c r="D125" s="11"/>
      <c r="AG125" s="18"/>
    </row>
    <row r="126" spans="2:33" s="9" customFormat="1" x14ac:dyDescent="0.25">
      <c r="B126" s="10"/>
      <c r="D126" s="11"/>
      <c r="AG126" s="18"/>
    </row>
    <row r="127" spans="2:33" s="9" customFormat="1" x14ac:dyDescent="0.25">
      <c r="B127" s="10"/>
      <c r="D127" s="11"/>
      <c r="AG127" s="18"/>
    </row>
    <row r="128" spans="2:33" s="9" customFormat="1" x14ac:dyDescent="0.25">
      <c r="B128" s="10"/>
      <c r="D128" s="11"/>
      <c r="AG128" s="18"/>
    </row>
    <row r="129" spans="2:33" s="9" customFormat="1" x14ac:dyDescent="0.25">
      <c r="B129" s="10"/>
      <c r="D129" s="11"/>
      <c r="AG129" s="18"/>
    </row>
    <row r="130" spans="2:33" s="9" customFormat="1" x14ac:dyDescent="0.25">
      <c r="B130" s="10"/>
      <c r="D130" s="11"/>
      <c r="AG130" s="18"/>
    </row>
    <row r="131" spans="2:33" s="9" customFormat="1" x14ac:dyDescent="0.25">
      <c r="B131" s="10"/>
      <c r="D131" s="11"/>
      <c r="AG131" s="18"/>
    </row>
    <row r="132" spans="2:33" s="9" customFormat="1" x14ac:dyDescent="0.25">
      <c r="B132" s="10"/>
      <c r="D132" s="11"/>
      <c r="AG132" s="18"/>
    </row>
    <row r="133" spans="2:33" s="9" customFormat="1" x14ac:dyDescent="0.25">
      <c r="B133" s="10"/>
      <c r="D133" s="11"/>
      <c r="AG133" s="18"/>
    </row>
    <row r="134" spans="2:33" s="9" customFormat="1" x14ac:dyDescent="0.25">
      <c r="B134" s="10"/>
      <c r="D134" s="11"/>
      <c r="AG134" s="18"/>
    </row>
    <row r="135" spans="2:33" s="9" customFormat="1" x14ac:dyDescent="0.25">
      <c r="B135" s="10"/>
      <c r="D135" s="11"/>
      <c r="AG135" s="18"/>
    </row>
    <row r="136" spans="2:33" s="9" customFormat="1" x14ac:dyDescent="0.25">
      <c r="B136" s="10"/>
      <c r="D136" s="11"/>
      <c r="AG136" s="18"/>
    </row>
    <row r="137" spans="2:33" s="9" customFormat="1" x14ac:dyDescent="0.25">
      <c r="B137" s="10"/>
      <c r="D137" s="11"/>
      <c r="AG137" s="18"/>
    </row>
    <row r="138" spans="2:33" s="9" customFormat="1" x14ac:dyDescent="0.25">
      <c r="B138" s="10"/>
      <c r="D138" s="11"/>
      <c r="AG138" s="18"/>
    </row>
    <row r="139" spans="2:33" s="9" customFormat="1" x14ac:dyDescent="0.25">
      <c r="B139" s="10"/>
      <c r="D139" s="11"/>
      <c r="AG139" s="18"/>
    </row>
    <row r="140" spans="2:33" s="9" customFormat="1" x14ac:dyDescent="0.25">
      <c r="B140" s="10"/>
      <c r="D140" s="11"/>
      <c r="AG140" s="18"/>
    </row>
    <row r="141" spans="2:33" s="9" customFormat="1" x14ac:dyDescent="0.25">
      <c r="B141" s="10"/>
      <c r="D141" s="11"/>
      <c r="AG141" s="18"/>
    </row>
    <row r="142" spans="2:33" s="9" customFormat="1" x14ac:dyDescent="0.25">
      <c r="B142" s="10"/>
      <c r="D142" s="11"/>
      <c r="AG142" s="18"/>
    </row>
    <row r="143" spans="2:33" s="9" customFormat="1" x14ac:dyDescent="0.25">
      <c r="B143" s="10"/>
      <c r="D143" s="11"/>
      <c r="AG143" s="18"/>
    </row>
    <row r="144" spans="2:33" s="9" customFormat="1" x14ac:dyDescent="0.25">
      <c r="B144" s="10"/>
      <c r="D144" s="11"/>
      <c r="AG144" s="18"/>
    </row>
    <row r="145" spans="2:33" s="9" customFormat="1" x14ac:dyDescent="0.25">
      <c r="B145" s="10"/>
      <c r="D145" s="11"/>
      <c r="AG145" s="18"/>
    </row>
    <row r="146" spans="2:33" s="9" customFormat="1" x14ac:dyDescent="0.25">
      <c r="B146" s="10"/>
      <c r="D146" s="11"/>
      <c r="AG146" s="18"/>
    </row>
    <row r="147" spans="2:33" s="9" customFormat="1" x14ac:dyDescent="0.25">
      <c r="B147" s="10"/>
      <c r="D147" s="11"/>
      <c r="AG147" s="18"/>
    </row>
    <row r="148" spans="2:33" s="9" customFormat="1" x14ac:dyDescent="0.25">
      <c r="B148" s="10"/>
      <c r="D148" s="11"/>
      <c r="AG148" s="18"/>
    </row>
    <row r="149" spans="2:33" s="9" customFormat="1" x14ac:dyDescent="0.25">
      <c r="B149" s="10"/>
      <c r="D149" s="11"/>
      <c r="AG149" s="18"/>
    </row>
    <row r="150" spans="2:33" s="9" customFormat="1" x14ac:dyDescent="0.25">
      <c r="B150" s="10"/>
      <c r="D150" s="11"/>
      <c r="AG150" s="18"/>
    </row>
    <row r="151" spans="2:33" s="9" customFormat="1" x14ac:dyDescent="0.25">
      <c r="B151" s="10"/>
      <c r="D151" s="11"/>
      <c r="AG151" s="18"/>
    </row>
    <row r="152" spans="2:33" s="9" customFormat="1" x14ac:dyDescent="0.25">
      <c r="B152" s="10"/>
      <c r="D152" s="11"/>
      <c r="AG152" s="18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I2:AJ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B6BE-D5BA-46CD-BAEE-FE8BD0FED2FE}">
  <sheetPr>
    <tabColor theme="5"/>
  </sheetPr>
  <dimension ref="A1:BI152"/>
  <sheetViews>
    <sheetView topLeftCell="F1" zoomScale="115" zoomScaleNormal="115" workbookViewId="0">
      <selection activeCell="E4" sqref="E4:F10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5.42578125" style="9" customWidth="1"/>
    <col min="15" max="15" width="21.85546875" style="9" customWidth="1"/>
    <col min="16" max="16" width="7.42578125" style="9" customWidth="1"/>
    <col min="17" max="18" width="11.42578125" style="9" customWidth="1"/>
    <col min="19" max="19" width="4" style="9" customWidth="1"/>
    <col min="20" max="20" width="5.42578125" style="9" customWidth="1"/>
    <col min="21" max="21" width="21.85546875" style="9" customWidth="1"/>
    <col min="22" max="22" width="7.42578125" style="9" customWidth="1"/>
    <col min="23" max="24" width="11.42578125" style="9" customWidth="1"/>
    <col min="25" max="25" width="4.5703125" style="9" customWidth="1"/>
    <col min="26" max="26" width="5.42578125" style="9" customWidth="1"/>
    <col min="27" max="27" width="21.85546875" style="9" customWidth="1"/>
    <col min="28" max="30" width="11.42578125" style="9" customWidth="1"/>
    <col min="31" max="31" width="6.7109375" style="9" customWidth="1"/>
    <col min="32" max="32" width="3.42578125" style="9" customWidth="1"/>
    <col min="33" max="33" width="0.85546875" style="18" customWidth="1"/>
    <col min="34" max="34" width="6.7109375" style="9" customWidth="1"/>
    <col min="35" max="35" width="24" style="9" customWidth="1"/>
    <col min="36" max="36" width="11.42578125" style="60"/>
    <col min="37" max="61" width="11.42578125" style="9"/>
  </cols>
  <sheetData>
    <row r="1" spans="1:61" s="9" customFormat="1" x14ac:dyDescent="0.25">
      <c r="B1" s="10"/>
      <c r="D1" s="11"/>
      <c r="AG1" s="18"/>
      <c r="AJ1" s="60"/>
    </row>
    <row r="2" spans="1:61" s="9" customFormat="1" ht="28.5" customHeight="1" thickBot="1" x14ac:dyDescent="0.3">
      <c r="B2" s="10"/>
      <c r="D2" s="11"/>
      <c r="AG2" s="18"/>
      <c r="AI2" s="86" t="s">
        <v>53</v>
      </c>
      <c r="AJ2" s="86"/>
      <c r="AK2" s="26"/>
      <c r="AL2" s="26"/>
      <c r="AM2" s="26"/>
    </row>
    <row r="3" spans="1:61" ht="22.5" customHeight="1" thickBot="1" x14ac:dyDescent="0.3">
      <c r="C3" s="87" t="s">
        <v>125</v>
      </c>
      <c r="D3" s="88"/>
      <c r="E3" s="88"/>
      <c r="F3" s="89"/>
      <c r="H3" s="8"/>
      <c r="I3" s="87" t="s">
        <v>126</v>
      </c>
      <c r="J3" s="88"/>
      <c r="K3" s="88"/>
      <c r="L3" s="89"/>
      <c r="N3" s="8"/>
      <c r="O3" s="87" t="s">
        <v>127</v>
      </c>
      <c r="P3" s="88"/>
      <c r="Q3" s="88"/>
      <c r="R3" s="89"/>
      <c r="T3" s="8"/>
      <c r="U3" s="145" t="s">
        <v>128</v>
      </c>
      <c r="V3" s="88"/>
      <c r="W3" s="88"/>
      <c r="X3" s="89"/>
      <c r="Y3" s="20"/>
      <c r="Z3" s="8"/>
      <c r="AA3" s="87" t="s">
        <v>129</v>
      </c>
      <c r="AB3" s="88"/>
      <c r="AC3" s="88"/>
      <c r="AD3" s="89"/>
      <c r="AE3" s="20"/>
      <c r="AF3" s="20"/>
      <c r="AI3" s="24"/>
      <c r="AJ3" s="26"/>
      <c r="AK3" s="24"/>
      <c r="AL3" s="24"/>
      <c r="AM3" s="24"/>
    </row>
    <row r="4" spans="1:61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0</v>
      </c>
      <c r="E4" s="94"/>
      <c r="F4" s="95"/>
      <c r="G4" s="29"/>
      <c r="H4" s="91" t="s">
        <v>9</v>
      </c>
      <c r="I4" s="27" t="s">
        <v>1</v>
      </c>
      <c r="J4" s="12">
        <f>J6+J7+J8+J9+J10+J11</f>
        <v>0</v>
      </c>
      <c r="K4" s="94"/>
      <c r="L4" s="95"/>
      <c r="M4" s="29"/>
      <c r="N4" s="91" t="s">
        <v>9</v>
      </c>
      <c r="O4" s="27" t="s">
        <v>1</v>
      </c>
      <c r="P4" s="12">
        <f>+P6+P7+P8+P9+P10+P11</f>
        <v>180</v>
      </c>
      <c r="Q4" s="94"/>
      <c r="R4" s="95"/>
      <c r="S4" s="29"/>
      <c r="T4" s="91" t="s">
        <v>9</v>
      </c>
      <c r="U4" s="27" t="s">
        <v>1</v>
      </c>
      <c r="V4" s="12">
        <f>+V6+V7+V8+V9+V10+V11</f>
        <v>83</v>
      </c>
      <c r="W4" s="94"/>
      <c r="X4" s="95"/>
      <c r="Y4" s="30"/>
      <c r="Z4" s="91" t="s">
        <v>9</v>
      </c>
      <c r="AA4" s="27" t="s">
        <v>1</v>
      </c>
      <c r="AB4" s="12">
        <v>69</v>
      </c>
      <c r="AC4" s="94"/>
      <c r="AD4" s="95"/>
      <c r="AE4" s="30"/>
      <c r="AF4" s="30"/>
      <c r="AG4" s="31"/>
      <c r="AH4" s="29"/>
      <c r="AI4" s="28" t="s">
        <v>1</v>
      </c>
      <c r="AJ4" s="25">
        <v>332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5.75" customHeight="1" x14ac:dyDescent="0.25">
      <c r="B5" s="92"/>
      <c r="C5" s="6" t="s">
        <v>0</v>
      </c>
      <c r="D5" s="16">
        <v>0</v>
      </c>
      <c r="E5" s="96"/>
      <c r="F5" s="97"/>
      <c r="H5" s="92"/>
      <c r="I5" s="6" t="s">
        <v>0</v>
      </c>
      <c r="J5" s="16">
        <v>0</v>
      </c>
      <c r="K5" s="96"/>
      <c r="L5" s="97"/>
      <c r="N5" s="92"/>
      <c r="O5" s="6" t="s">
        <v>0</v>
      </c>
      <c r="P5" s="16">
        <v>62</v>
      </c>
      <c r="Q5" s="96"/>
      <c r="R5" s="97"/>
      <c r="T5" s="92"/>
      <c r="U5" s="6" t="s">
        <v>0</v>
      </c>
      <c r="V5" s="16">
        <v>23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F5" s="17"/>
      <c r="AI5" s="6" t="s">
        <v>0</v>
      </c>
      <c r="AJ5" s="16">
        <v>85</v>
      </c>
    </row>
    <row r="6" spans="1:61" ht="15.75" customHeight="1" x14ac:dyDescent="0.25">
      <c r="B6" s="92"/>
      <c r="C6" s="2" t="s">
        <v>2</v>
      </c>
      <c r="D6" s="4">
        <v>0</v>
      </c>
      <c r="E6" s="96"/>
      <c r="F6" s="97"/>
      <c r="H6" s="92"/>
      <c r="I6" s="2" t="s">
        <v>2</v>
      </c>
      <c r="J6" s="4">
        <v>0</v>
      </c>
      <c r="K6" s="96"/>
      <c r="L6" s="97"/>
      <c r="N6" s="92"/>
      <c r="O6" s="2" t="s">
        <v>2</v>
      </c>
      <c r="P6" s="4">
        <v>57</v>
      </c>
      <c r="Q6" s="96"/>
      <c r="R6" s="97"/>
      <c r="T6" s="92"/>
      <c r="U6" s="2" t="s">
        <v>2</v>
      </c>
      <c r="V6" s="4">
        <v>28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F6" s="17"/>
      <c r="AI6" s="2" t="s">
        <v>2</v>
      </c>
      <c r="AJ6" s="4">
        <v>85</v>
      </c>
    </row>
    <row r="7" spans="1:61" x14ac:dyDescent="0.25">
      <c r="B7" s="92"/>
      <c r="C7" s="2" t="s">
        <v>3</v>
      </c>
      <c r="D7" s="4">
        <v>0</v>
      </c>
      <c r="E7" s="96"/>
      <c r="F7" s="97"/>
      <c r="H7" s="92"/>
      <c r="I7" s="2" t="s">
        <v>3</v>
      </c>
      <c r="J7" s="4">
        <v>0</v>
      </c>
      <c r="K7" s="96"/>
      <c r="L7" s="97"/>
      <c r="N7" s="92"/>
      <c r="O7" s="2" t="s">
        <v>3</v>
      </c>
      <c r="P7" s="4">
        <v>40</v>
      </c>
      <c r="Q7" s="96"/>
      <c r="R7" s="97"/>
      <c r="T7" s="92"/>
      <c r="U7" s="2" t="s">
        <v>3</v>
      </c>
      <c r="V7" s="4">
        <v>23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F7" s="17"/>
      <c r="AI7" s="2" t="s">
        <v>3</v>
      </c>
      <c r="AJ7" s="4">
        <v>63</v>
      </c>
    </row>
    <row r="8" spans="1:61" x14ac:dyDescent="0.25">
      <c r="B8" s="92"/>
      <c r="C8" s="2" t="s">
        <v>4</v>
      </c>
      <c r="D8" s="4">
        <v>0</v>
      </c>
      <c r="E8" s="96"/>
      <c r="F8" s="97"/>
      <c r="H8" s="92"/>
      <c r="I8" s="2" t="s">
        <v>4</v>
      </c>
      <c r="J8" s="4">
        <v>0</v>
      </c>
      <c r="K8" s="96"/>
      <c r="L8" s="97"/>
      <c r="N8" s="92"/>
      <c r="O8" s="2" t="s">
        <v>4</v>
      </c>
      <c r="P8" s="4">
        <v>27</v>
      </c>
      <c r="Q8" s="96"/>
      <c r="R8" s="97"/>
      <c r="T8" s="92"/>
      <c r="U8" s="2" t="s">
        <v>4</v>
      </c>
      <c r="V8" s="4">
        <v>16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F8" s="17"/>
      <c r="AI8" s="2" t="s">
        <v>4</v>
      </c>
      <c r="AJ8" s="4">
        <v>43</v>
      </c>
    </row>
    <row r="9" spans="1:61" x14ac:dyDescent="0.25">
      <c r="B9" s="92"/>
      <c r="C9" s="2" t="s">
        <v>5</v>
      </c>
      <c r="D9" s="4">
        <v>0</v>
      </c>
      <c r="E9" s="96"/>
      <c r="F9" s="97"/>
      <c r="H9" s="92"/>
      <c r="I9" s="2" t="s">
        <v>5</v>
      </c>
      <c r="J9" s="4">
        <v>0</v>
      </c>
      <c r="K9" s="96"/>
      <c r="L9" s="97"/>
      <c r="N9" s="92"/>
      <c r="O9" s="2" t="s">
        <v>5</v>
      </c>
      <c r="P9" s="4">
        <v>40</v>
      </c>
      <c r="Q9" s="96"/>
      <c r="R9" s="97"/>
      <c r="T9" s="92"/>
      <c r="U9" s="2" t="s">
        <v>5</v>
      </c>
      <c r="V9" s="4">
        <v>15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F9" s="17"/>
      <c r="AI9" s="2" t="s">
        <v>5</v>
      </c>
      <c r="AJ9" s="4">
        <v>55</v>
      </c>
    </row>
    <row r="10" spans="1:61" ht="15.75" thickBot="1" x14ac:dyDescent="0.3">
      <c r="B10" s="92"/>
      <c r="C10" s="7" t="s">
        <v>6</v>
      </c>
      <c r="D10" s="15">
        <v>0</v>
      </c>
      <c r="E10" s="96"/>
      <c r="F10" s="97"/>
      <c r="H10" s="92"/>
      <c r="I10" s="7" t="s">
        <v>6</v>
      </c>
      <c r="J10" s="15">
        <v>0</v>
      </c>
      <c r="K10" s="96"/>
      <c r="L10" s="97"/>
      <c r="N10" s="92"/>
      <c r="O10" s="7" t="s">
        <v>6</v>
      </c>
      <c r="P10" s="15">
        <v>6</v>
      </c>
      <c r="Q10" s="96"/>
      <c r="R10" s="97"/>
      <c r="T10" s="92"/>
      <c r="U10" s="7" t="s">
        <v>6</v>
      </c>
      <c r="V10" s="15">
        <v>1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F10" s="17"/>
      <c r="AI10" s="7" t="s">
        <v>6</v>
      </c>
      <c r="AJ10" s="15">
        <v>7</v>
      </c>
    </row>
    <row r="11" spans="1:61" ht="15.75" thickBot="1" x14ac:dyDescent="0.3">
      <c r="B11" s="92"/>
      <c r="C11" s="2" t="s">
        <v>7</v>
      </c>
      <c r="D11" s="4">
        <v>0</v>
      </c>
      <c r="E11" s="98" t="s">
        <v>33</v>
      </c>
      <c r="F11" s="99"/>
      <c r="H11" s="92"/>
      <c r="I11" s="2" t="s">
        <v>7</v>
      </c>
      <c r="J11" s="4">
        <v>0</v>
      </c>
      <c r="K11" s="98" t="s">
        <v>33</v>
      </c>
      <c r="L11" s="99"/>
      <c r="N11" s="92"/>
      <c r="O11" s="2" t="s">
        <v>7</v>
      </c>
      <c r="P11" s="4">
        <v>10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F11" s="19"/>
      <c r="AI11" s="2" t="s">
        <v>7</v>
      </c>
      <c r="AJ11" s="4">
        <v>10</v>
      </c>
    </row>
    <row r="12" spans="1:61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F12" s="17"/>
      <c r="AI12" s="2" t="s">
        <v>49</v>
      </c>
      <c r="AJ12" s="4">
        <v>0</v>
      </c>
    </row>
    <row r="13" spans="1:61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F13" s="17"/>
      <c r="AI13" s="2" t="s">
        <v>50</v>
      </c>
      <c r="AJ13" s="4">
        <v>0</v>
      </c>
    </row>
    <row r="14" spans="1:61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F14" s="17"/>
      <c r="AI14" s="2" t="s">
        <v>51</v>
      </c>
      <c r="AJ14" s="4">
        <v>0</v>
      </c>
    </row>
    <row r="15" spans="1:61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F15" s="19"/>
      <c r="AI15" s="3" t="s">
        <v>52</v>
      </c>
      <c r="AJ15" s="5">
        <v>0</v>
      </c>
    </row>
    <row r="16" spans="1:61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G16" s="18"/>
      <c r="AJ16" s="60"/>
    </row>
    <row r="17" spans="2:36" x14ac:dyDescent="0.25">
      <c r="B17" s="104" t="s">
        <v>28</v>
      </c>
      <c r="C17" s="6" t="s">
        <v>10</v>
      </c>
      <c r="D17" s="107" t="s">
        <v>34</v>
      </c>
      <c r="E17" s="108"/>
      <c r="F17" s="9"/>
      <c r="H17" s="104" t="s">
        <v>28</v>
      </c>
      <c r="I17" s="6" t="s">
        <v>10</v>
      </c>
      <c r="J17" s="107" t="s">
        <v>34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34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6" ht="15.75" thickBot="1" x14ac:dyDescent="0.3">
      <c r="B18" s="105"/>
      <c r="C18" s="2" t="s">
        <v>11</v>
      </c>
      <c r="D18" s="100" t="s">
        <v>35</v>
      </c>
      <c r="E18" s="101"/>
      <c r="F18" s="9"/>
      <c r="H18" s="105"/>
      <c r="I18" s="2" t="s">
        <v>11</v>
      </c>
      <c r="J18" s="100" t="s">
        <v>35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35</v>
      </c>
      <c r="W18" s="101"/>
      <c r="Z18" s="105"/>
      <c r="AA18" s="2" t="s">
        <v>11</v>
      </c>
      <c r="AB18" s="100" t="s">
        <v>35</v>
      </c>
      <c r="AC18" s="101"/>
    </row>
    <row r="19" spans="2:36" ht="15.75" thickBot="1" x14ac:dyDescent="0.3">
      <c r="B19" s="105"/>
      <c r="C19" s="2" t="s">
        <v>12</v>
      </c>
      <c r="D19" s="100" t="s">
        <v>130</v>
      </c>
      <c r="E19" s="101"/>
      <c r="F19" s="9"/>
      <c r="H19" s="105"/>
      <c r="I19" s="2" t="s">
        <v>12</v>
      </c>
      <c r="J19" s="100" t="s">
        <v>130</v>
      </c>
      <c r="K19" s="101"/>
      <c r="N19" s="105"/>
      <c r="O19" s="2" t="s">
        <v>12</v>
      </c>
      <c r="P19" s="100" t="s">
        <v>131</v>
      </c>
      <c r="Q19" s="101"/>
      <c r="T19" s="105"/>
      <c r="U19" s="2" t="s">
        <v>12</v>
      </c>
      <c r="V19" s="100" t="s">
        <v>132</v>
      </c>
      <c r="W19" s="101"/>
      <c r="Z19" s="105"/>
      <c r="AA19" s="2" t="s">
        <v>12</v>
      </c>
      <c r="AB19" s="100" t="s">
        <v>132</v>
      </c>
      <c r="AC19" s="101"/>
      <c r="AI19" s="51" t="s">
        <v>54</v>
      </c>
      <c r="AJ19" s="52">
        <f>+AJ20+AJ21</f>
        <v>3</v>
      </c>
    </row>
    <row r="20" spans="2:36" ht="15.75" thickBot="1" x14ac:dyDescent="0.3">
      <c r="B20" s="106"/>
      <c r="C20" s="3" t="s">
        <v>13</v>
      </c>
      <c r="D20" s="102" t="s">
        <v>133</v>
      </c>
      <c r="E20" s="103"/>
      <c r="F20" s="9"/>
      <c r="H20" s="106"/>
      <c r="I20" s="3" t="s">
        <v>13</v>
      </c>
      <c r="J20" s="102" t="s">
        <v>134</v>
      </c>
      <c r="K20" s="103"/>
      <c r="N20" s="106"/>
      <c r="O20" s="3" t="s">
        <v>13</v>
      </c>
      <c r="P20" s="102" t="s">
        <v>135</v>
      </c>
      <c r="Q20" s="103"/>
      <c r="T20" s="106"/>
      <c r="U20" s="3" t="s">
        <v>13</v>
      </c>
      <c r="V20" s="102" t="s">
        <v>136</v>
      </c>
      <c r="W20" s="103"/>
      <c r="Z20" s="106"/>
      <c r="AA20" s="3" t="s">
        <v>13</v>
      </c>
      <c r="AB20" s="102" t="s">
        <v>137</v>
      </c>
      <c r="AC20" s="103"/>
      <c r="AI20" s="49" t="s">
        <v>55</v>
      </c>
      <c r="AJ20" s="61">
        <v>3</v>
      </c>
    </row>
    <row r="21" spans="2:36" ht="15.75" thickBot="1" x14ac:dyDescent="0.3">
      <c r="B21" s="109" t="s">
        <v>29</v>
      </c>
      <c r="C21" s="6" t="s">
        <v>14</v>
      </c>
      <c r="D21" s="107" t="s">
        <v>138</v>
      </c>
      <c r="E21" s="108"/>
      <c r="F21" s="9"/>
      <c r="H21" s="109" t="s">
        <v>29</v>
      </c>
      <c r="I21" s="6" t="s">
        <v>14</v>
      </c>
      <c r="J21" s="107" t="s">
        <v>139</v>
      </c>
      <c r="K21" s="108"/>
      <c r="N21" s="109" t="s">
        <v>29</v>
      </c>
      <c r="O21" s="6" t="s">
        <v>14</v>
      </c>
      <c r="P21" s="107" t="s">
        <v>140</v>
      </c>
      <c r="Q21" s="108"/>
      <c r="T21" s="109" t="s">
        <v>29</v>
      </c>
      <c r="U21" s="6" t="s">
        <v>14</v>
      </c>
      <c r="V21" s="107" t="s">
        <v>141</v>
      </c>
      <c r="W21" s="108"/>
      <c r="Z21" s="109" t="s">
        <v>29</v>
      </c>
      <c r="AA21" s="6" t="s">
        <v>14</v>
      </c>
      <c r="AB21" s="107" t="s">
        <v>142</v>
      </c>
      <c r="AC21" s="108"/>
      <c r="AI21" s="47" t="s">
        <v>56</v>
      </c>
      <c r="AJ21" s="62">
        <v>0</v>
      </c>
    </row>
    <row r="22" spans="2:36" x14ac:dyDescent="0.25">
      <c r="B22" s="110"/>
      <c r="C22" s="2" t="s">
        <v>15</v>
      </c>
      <c r="D22" s="137">
        <v>19128177</v>
      </c>
      <c r="E22" s="101"/>
      <c r="F22" s="9"/>
      <c r="H22" s="110"/>
      <c r="I22" s="2" t="s">
        <v>15</v>
      </c>
      <c r="J22" s="100">
        <v>26468654</v>
      </c>
      <c r="K22" s="101"/>
      <c r="N22" s="110"/>
      <c r="O22" s="2" t="s">
        <v>15</v>
      </c>
      <c r="P22" s="137">
        <v>14262225</v>
      </c>
      <c r="Q22" s="101"/>
      <c r="T22" s="110"/>
      <c r="U22" s="2" t="s">
        <v>15</v>
      </c>
      <c r="V22" s="100">
        <v>18363475</v>
      </c>
      <c r="W22" s="101"/>
      <c r="Z22" s="110"/>
      <c r="AA22" s="2" t="s">
        <v>15</v>
      </c>
      <c r="AB22" s="137">
        <v>4817315</v>
      </c>
      <c r="AC22" s="101"/>
    </row>
    <row r="23" spans="2:36" x14ac:dyDescent="0.25">
      <c r="B23" s="110"/>
      <c r="C23" s="2" t="s">
        <v>16</v>
      </c>
      <c r="D23" s="100">
        <v>4143695140</v>
      </c>
      <c r="E23" s="101"/>
      <c r="F23" s="9"/>
      <c r="H23" s="110"/>
      <c r="I23" s="2" t="s">
        <v>16</v>
      </c>
      <c r="J23" s="100" t="s">
        <v>39</v>
      </c>
      <c r="K23" s="101"/>
      <c r="N23" s="110"/>
      <c r="O23" s="2" t="s">
        <v>16</v>
      </c>
      <c r="P23" s="100" t="s">
        <v>143</v>
      </c>
      <c r="Q23" s="101"/>
      <c r="T23" s="110"/>
      <c r="U23" s="2" t="s">
        <v>16</v>
      </c>
      <c r="V23" s="100">
        <v>4164218626</v>
      </c>
      <c r="W23" s="101"/>
      <c r="Z23" s="110"/>
      <c r="AA23" s="2" t="s">
        <v>16</v>
      </c>
      <c r="AB23" s="100" t="s">
        <v>144</v>
      </c>
      <c r="AC23" s="101"/>
    </row>
    <row r="24" spans="2:36" ht="15.75" thickBot="1" x14ac:dyDescent="0.3">
      <c r="B24" s="111"/>
      <c r="C24" s="3" t="s">
        <v>17</v>
      </c>
      <c r="D24" s="102" t="s">
        <v>145</v>
      </c>
      <c r="E24" s="103"/>
      <c r="F24" s="9"/>
      <c r="H24" s="111"/>
      <c r="I24" s="3" t="s">
        <v>17</v>
      </c>
      <c r="J24" s="102" t="s">
        <v>146</v>
      </c>
      <c r="K24" s="103"/>
      <c r="N24" s="111"/>
      <c r="O24" s="3" t="s">
        <v>17</v>
      </c>
      <c r="P24" s="102" t="s">
        <v>147</v>
      </c>
      <c r="Q24" s="103"/>
      <c r="T24" s="111"/>
      <c r="U24" s="3" t="s">
        <v>17</v>
      </c>
      <c r="V24" s="102" t="s">
        <v>148</v>
      </c>
      <c r="W24" s="103"/>
      <c r="Z24" s="111"/>
      <c r="AA24" s="3" t="s">
        <v>17</v>
      </c>
      <c r="AB24" s="102" t="s">
        <v>149</v>
      </c>
      <c r="AC24" s="103"/>
    </row>
    <row r="25" spans="2:36" x14ac:dyDescent="0.25">
      <c r="B25" s="109" t="s">
        <v>30</v>
      </c>
      <c r="C25" s="6" t="s">
        <v>18</v>
      </c>
      <c r="D25" s="107" t="s">
        <v>150</v>
      </c>
      <c r="E25" s="108"/>
      <c r="F25" s="9"/>
      <c r="H25" s="109" t="s">
        <v>30</v>
      </c>
      <c r="I25" s="6" t="s">
        <v>18</v>
      </c>
      <c r="J25" s="107" t="s">
        <v>151</v>
      </c>
      <c r="K25" s="108"/>
      <c r="N25" s="109" t="s">
        <v>30</v>
      </c>
      <c r="O25" s="6" t="s">
        <v>18</v>
      </c>
      <c r="P25" s="107" t="s">
        <v>152</v>
      </c>
      <c r="Q25" s="108"/>
      <c r="T25" s="109" t="s">
        <v>30</v>
      </c>
      <c r="U25" s="6" t="s">
        <v>18</v>
      </c>
      <c r="V25" s="107" t="s">
        <v>153</v>
      </c>
      <c r="W25" s="108"/>
      <c r="Z25" s="109" t="s">
        <v>30</v>
      </c>
      <c r="AA25" s="6" t="s">
        <v>18</v>
      </c>
      <c r="AB25" s="107" t="s">
        <v>154</v>
      </c>
      <c r="AC25" s="108"/>
    </row>
    <row r="26" spans="2:36" x14ac:dyDescent="0.25">
      <c r="B26" s="110"/>
      <c r="C26" s="2" t="s">
        <v>15</v>
      </c>
      <c r="D26" s="137">
        <v>27698045</v>
      </c>
      <c r="E26" s="101"/>
      <c r="F26" s="9"/>
      <c r="H26" s="110"/>
      <c r="I26" s="2" t="s">
        <v>15</v>
      </c>
      <c r="J26" s="100">
        <v>26468654</v>
      </c>
      <c r="K26" s="101"/>
      <c r="N26" s="110"/>
      <c r="O26" s="2" t="s">
        <v>15</v>
      </c>
      <c r="P26" s="137">
        <v>26509561</v>
      </c>
      <c r="Q26" s="101"/>
      <c r="T26" s="110"/>
      <c r="U26" s="2" t="s">
        <v>15</v>
      </c>
      <c r="V26" s="137">
        <v>19969757</v>
      </c>
      <c r="W26" s="101"/>
      <c r="Z26" s="110"/>
      <c r="AA26" s="2" t="s">
        <v>15</v>
      </c>
      <c r="AB26" s="100">
        <v>19969757</v>
      </c>
      <c r="AC26" s="101"/>
    </row>
    <row r="27" spans="2:36" x14ac:dyDescent="0.25">
      <c r="B27" s="110"/>
      <c r="C27" s="2" t="s">
        <v>16</v>
      </c>
      <c r="D27" s="100">
        <v>4243283894</v>
      </c>
      <c r="E27" s="101"/>
      <c r="F27" s="9"/>
      <c r="H27" s="110"/>
      <c r="I27" s="2" t="s">
        <v>16</v>
      </c>
      <c r="J27" s="100">
        <v>4242979359</v>
      </c>
      <c r="K27" s="101"/>
      <c r="N27" s="110"/>
      <c r="O27" s="2" t="s">
        <v>16</v>
      </c>
      <c r="P27" s="100" t="s">
        <v>155</v>
      </c>
      <c r="Q27" s="101"/>
      <c r="T27" s="110"/>
      <c r="U27" s="2" t="s">
        <v>16</v>
      </c>
      <c r="V27" s="100" t="s">
        <v>156</v>
      </c>
      <c r="W27" s="101"/>
      <c r="Z27" s="110"/>
      <c r="AA27" s="2" t="s">
        <v>16</v>
      </c>
      <c r="AB27" s="100">
        <v>4120110706</v>
      </c>
      <c r="AC27" s="101"/>
    </row>
    <row r="28" spans="2:36" x14ac:dyDescent="0.25">
      <c r="B28" s="110"/>
      <c r="C28" s="2" t="s">
        <v>19</v>
      </c>
      <c r="D28" s="100" t="s">
        <v>157</v>
      </c>
      <c r="E28" s="101"/>
      <c r="F28" s="9"/>
      <c r="H28" s="110"/>
      <c r="I28" s="2" t="s">
        <v>19</v>
      </c>
      <c r="J28" s="100" t="s">
        <v>158</v>
      </c>
      <c r="K28" s="101"/>
      <c r="N28" s="110"/>
      <c r="O28" s="2" t="s">
        <v>19</v>
      </c>
      <c r="P28" s="100" t="s">
        <v>159</v>
      </c>
      <c r="Q28" s="101"/>
      <c r="T28" s="110"/>
      <c r="U28" s="2" t="s">
        <v>19</v>
      </c>
      <c r="V28" s="100" t="s">
        <v>160</v>
      </c>
      <c r="W28" s="101"/>
      <c r="Z28" s="110"/>
      <c r="AA28" s="2" t="s">
        <v>19</v>
      </c>
      <c r="AB28" s="100" t="s">
        <v>161</v>
      </c>
      <c r="AC28" s="101"/>
    </row>
    <row r="29" spans="2:36" x14ac:dyDescent="0.25">
      <c r="B29" s="110"/>
      <c r="C29" s="2" t="s">
        <v>20</v>
      </c>
      <c r="D29" s="100">
        <v>18</v>
      </c>
      <c r="E29" s="101"/>
      <c r="F29" s="9"/>
      <c r="H29" s="110"/>
      <c r="I29" s="2" t="s">
        <v>20</v>
      </c>
      <c r="J29" s="100">
        <v>118</v>
      </c>
      <c r="K29" s="101"/>
      <c r="N29" s="110"/>
      <c r="O29" s="2" t="s">
        <v>20</v>
      </c>
      <c r="P29" s="100">
        <v>10</v>
      </c>
      <c r="Q29" s="101"/>
      <c r="T29" s="110"/>
      <c r="U29" s="2" t="s">
        <v>20</v>
      </c>
      <c r="V29" s="100">
        <v>8</v>
      </c>
      <c r="W29" s="101"/>
      <c r="Z29" s="110"/>
      <c r="AA29" s="2" t="s">
        <v>20</v>
      </c>
      <c r="AB29" s="100">
        <v>8</v>
      </c>
      <c r="AC29" s="101"/>
    </row>
    <row r="30" spans="2:36" ht="15.75" thickBot="1" x14ac:dyDescent="0.3">
      <c r="B30" s="111"/>
      <c r="C30" s="3" t="s">
        <v>21</v>
      </c>
      <c r="D30" s="102" t="s">
        <v>162</v>
      </c>
      <c r="E30" s="103"/>
      <c r="F30" s="9"/>
      <c r="H30" s="111"/>
      <c r="I30" s="3" t="s">
        <v>21</v>
      </c>
      <c r="J30" s="102" t="s">
        <v>88</v>
      </c>
      <c r="K30" s="103"/>
      <c r="N30" s="111"/>
      <c r="O30" s="3" t="s">
        <v>21</v>
      </c>
      <c r="P30" s="102" t="s">
        <v>88</v>
      </c>
      <c r="Q30" s="103"/>
      <c r="T30" s="111"/>
      <c r="U30" s="3" t="s">
        <v>21</v>
      </c>
      <c r="V30" s="102" t="s">
        <v>88</v>
      </c>
      <c r="W30" s="103"/>
      <c r="Z30" s="111"/>
      <c r="AA30" s="3" t="s">
        <v>21</v>
      </c>
      <c r="AB30" s="102" t="s">
        <v>88</v>
      </c>
      <c r="AC30" s="103"/>
    </row>
    <row r="31" spans="2:36" x14ac:dyDescent="0.25">
      <c r="B31" s="104" t="s">
        <v>32</v>
      </c>
      <c r="C31" s="6" t="s">
        <v>23</v>
      </c>
      <c r="D31" s="107" t="s">
        <v>88</v>
      </c>
      <c r="E31" s="108"/>
      <c r="F31" s="9"/>
      <c r="H31" s="104" t="s">
        <v>32</v>
      </c>
      <c r="I31" s="6" t="s">
        <v>23</v>
      </c>
      <c r="J31" s="107" t="s">
        <v>87</v>
      </c>
      <c r="K31" s="108"/>
      <c r="N31" s="104" t="s">
        <v>32</v>
      </c>
      <c r="O31" s="6" t="s">
        <v>23</v>
      </c>
      <c r="P31" s="107" t="s">
        <v>87</v>
      </c>
      <c r="Q31" s="108"/>
      <c r="T31" s="104" t="s">
        <v>32</v>
      </c>
      <c r="U31" s="6" t="s">
        <v>23</v>
      </c>
      <c r="V31" s="107" t="s">
        <v>87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6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88</v>
      </c>
      <c r="K32" s="113"/>
      <c r="N32" s="105"/>
      <c r="O32" s="2" t="s">
        <v>24</v>
      </c>
      <c r="P32" s="112" t="s">
        <v>88</v>
      </c>
      <c r="Q32" s="113"/>
      <c r="T32" s="105"/>
      <c r="U32" s="2" t="s">
        <v>24</v>
      </c>
      <c r="V32" s="112" t="s">
        <v>88</v>
      </c>
      <c r="W32" s="113"/>
      <c r="Z32" s="105"/>
      <c r="AA32" s="2" t="s">
        <v>24</v>
      </c>
      <c r="AB32" s="112" t="s">
        <v>88</v>
      </c>
      <c r="AC32" s="113"/>
    </row>
    <row r="33" spans="2:36" x14ac:dyDescent="0.25">
      <c r="B33" s="105"/>
      <c r="C33" s="2" t="s">
        <v>25</v>
      </c>
      <c r="D33" s="112" t="s">
        <v>88</v>
      </c>
      <c r="E33" s="113"/>
      <c r="F33" s="9"/>
      <c r="H33" s="105"/>
      <c r="I33" s="2" t="s">
        <v>25</v>
      </c>
      <c r="J33" s="112" t="s">
        <v>87</v>
      </c>
      <c r="K33" s="113"/>
      <c r="N33" s="105"/>
      <c r="O33" s="2" t="s">
        <v>25</v>
      </c>
      <c r="P33" s="112" t="s">
        <v>87</v>
      </c>
      <c r="Q33" s="113"/>
      <c r="T33" s="105"/>
      <c r="U33" s="2" t="s">
        <v>25</v>
      </c>
      <c r="V33" s="112" t="s">
        <v>88</v>
      </c>
      <c r="W33" s="113"/>
      <c r="Z33" s="105"/>
      <c r="AA33" s="2" t="s">
        <v>25</v>
      </c>
      <c r="AB33" s="112" t="s">
        <v>88</v>
      </c>
      <c r="AC33" s="113"/>
    </row>
    <row r="34" spans="2:36" ht="15.75" thickBot="1" x14ac:dyDescent="0.3">
      <c r="B34" s="105"/>
      <c r="C34" s="7" t="s">
        <v>26</v>
      </c>
      <c r="D34" s="114" t="s">
        <v>88</v>
      </c>
      <c r="E34" s="115"/>
      <c r="F34" s="9"/>
      <c r="H34" s="105"/>
      <c r="I34" s="7" t="s">
        <v>26</v>
      </c>
      <c r="J34" s="114" t="s">
        <v>87</v>
      </c>
      <c r="K34" s="115"/>
      <c r="N34" s="105"/>
      <c r="O34" s="7" t="s">
        <v>26</v>
      </c>
      <c r="P34" s="114" t="s">
        <v>88</v>
      </c>
      <c r="Q34" s="115"/>
      <c r="T34" s="105"/>
      <c r="U34" s="7" t="s">
        <v>26</v>
      </c>
      <c r="V34" s="114" t="s">
        <v>88</v>
      </c>
      <c r="W34" s="115"/>
      <c r="Z34" s="105"/>
      <c r="AA34" s="7" t="s">
        <v>26</v>
      </c>
      <c r="AB34" s="114" t="s">
        <v>88</v>
      </c>
      <c r="AC34" s="115"/>
    </row>
    <row r="35" spans="2:36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  <c r="AF35" s="21"/>
    </row>
    <row r="36" spans="2:36" ht="15" customHeight="1" x14ac:dyDescent="0.25">
      <c r="B36" s="110"/>
      <c r="C36" s="119" t="s">
        <v>163</v>
      </c>
      <c r="D36" s="120"/>
      <c r="E36" s="120"/>
      <c r="F36" s="121"/>
      <c r="H36" s="110"/>
      <c r="I36" s="119" t="s">
        <v>164</v>
      </c>
      <c r="J36" s="120"/>
      <c r="K36" s="120"/>
      <c r="L36" s="121"/>
      <c r="N36" s="110"/>
      <c r="O36" s="119" t="s">
        <v>165</v>
      </c>
      <c r="P36" s="120"/>
      <c r="Q36" s="120"/>
      <c r="R36" s="121"/>
      <c r="T36" s="110"/>
      <c r="U36" s="146" t="s">
        <v>166</v>
      </c>
      <c r="V36" s="120"/>
      <c r="W36" s="120"/>
      <c r="X36" s="121"/>
      <c r="Y36" s="22"/>
      <c r="Z36" s="110"/>
      <c r="AA36" s="119" t="s">
        <v>167</v>
      </c>
      <c r="AB36" s="120"/>
      <c r="AC36" s="120"/>
      <c r="AD36" s="121"/>
      <c r="AE36" s="22"/>
      <c r="AF36" s="22"/>
    </row>
    <row r="37" spans="2:36" x14ac:dyDescent="0.25">
      <c r="B37" s="110"/>
      <c r="C37" s="122" t="s">
        <v>43</v>
      </c>
      <c r="D37" s="123"/>
      <c r="E37" s="123"/>
      <c r="F37" s="124"/>
      <c r="H37" s="110"/>
      <c r="I37" s="122" t="s">
        <v>43</v>
      </c>
      <c r="J37" s="123"/>
      <c r="K37" s="123"/>
      <c r="L37" s="124"/>
      <c r="N37" s="110"/>
      <c r="O37" s="122" t="s">
        <v>43</v>
      </c>
      <c r="P37" s="123"/>
      <c r="Q37" s="123"/>
      <c r="R37" s="124"/>
      <c r="T37" s="110"/>
      <c r="U37" s="122" t="s">
        <v>168</v>
      </c>
      <c r="V37" s="123"/>
      <c r="W37" s="123"/>
      <c r="X37" s="124"/>
      <c r="Y37" s="22"/>
      <c r="Z37" s="110"/>
      <c r="AA37" s="122" t="s">
        <v>169</v>
      </c>
      <c r="AB37" s="123"/>
      <c r="AC37" s="123"/>
      <c r="AD37" s="124"/>
      <c r="AE37" s="22"/>
      <c r="AF37" s="22"/>
    </row>
    <row r="38" spans="2:36" x14ac:dyDescent="0.25">
      <c r="B38" s="110"/>
      <c r="C38" s="122" t="s">
        <v>43</v>
      </c>
      <c r="D38" s="123"/>
      <c r="E38" s="123"/>
      <c r="F38" s="124"/>
      <c r="H38" s="110"/>
      <c r="I38" s="122" t="s">
        <v>43</v>
      </c>
      <c r="J38" s="123"/>
      <c r="K38" s="123"/>
      <c r="L38" s="124"/>
      <c r="N38" s="110"/>
      <c r="O38" s="122" t="s">
        <v>43</v>
      </c>
      <c r="P38" s="123"/>
      <c r="Q38" s="123"/>
      <c r="R38" s="124"/>
      <c r="T38" s="110"/>
      <c r="U38" s="122" t="s">
        <v>43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  <c r="AF38" s="22"/>
    </row>
    <row r="39" spans="2:36" ht="15.75" thickBot="1" x14ac:dyDescent="0.3">
      <c r="B39" s="111"/>
      <c r="C39" s="125" t="s">
        <v>43</v>
      </c>
      <c r="D39" s="126"/>
      <c r="E39" s="126"/>
      <c r="F39" s="127"/>
      <c r="H39" s="111"/>
      <c r="I39" s="125" t="s">
        <v>43</v>
      </c>
      <c r="J39" s="126"/>
      <c r="K39" s="126"/>
      <c r="L39" s="127"/>
      <c r="N39" s="111"/>
      <c r="O39" s="125" t="s">
        <v>43</v>
      </c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  <c r="AF39" s="22"/>
    </row>
    <row r="40" spans="2:36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G40" s="18"/>
      <c r="AJ40" s="60"/>
    </row>
    <row r="41" spans="2:36" s="9" customFormat="1" x14ac:dyDescent="0.25">
      <c r="B41" s="10"/>
      <c r="C41" s="13" t="s">
        <v>44</v>
      </c>
      <c r="D41" s="130" t="s">
        <v>170</v>
      </c>
      <c r="E41" s="131"/>
      <c r="F41" s="132"/>
      <c r="H41" s="10"/>
      <c r="I41" s="13" t="s">
        <v>44</v>
      </c>
      <c r="J41" s="130" t="s">
        <v>170</v>
      </c>
      <c r="K41" s="131"/>
      <c r="L41" s="132"/>
      <c r="N41" s="10"/>
      <c r="O41" s="13" t="s">
        <v>44</v>
      </c>
      <c r="P41" s="130" t="s">
        <v>170</v>
      </c>
      <c r="Q41" s="131"/>
      <c r="R41" s="132"/>
      <c r="T41" s="10"/>
      <c r="U41" s="13" t="s">
        <v>44</v>
      </c>
      <c r="V41" s="130" t="s">
        <v>170</v>
      </c>
      <c r="W41" s="131"/>
      <c r="X41" s="132"/>
      <c r="Y41" s="23"/>
      <c r="Z41" s="10"/>
      <c r="AA41" s="13" t="s">
        <v>44</v>
      </c>
      <c r="AB41" s="130" t="s">
        <v>170</v>
      </c>
      <c r="AC41" s="131"/>
      <c r="AD41" s="132"/>
      <c r="AE41" s="23"/>
      <c r="AF41" s="23"/>
      <c r="AG41" s="18"/>
      <c r="AJ41" s="60"/>
    </row>
    <row r="42" spans="2:36" s="9" customFormat="1" ht="15.75" thickBot="1" x14ac:dyDescent="0.3">
      <c r="B42" s="10"/>
      <c r="C42" s="14" t="s">
        <v>45</v>
      </c>
      <c r="D42" s="128" t="s">
        <v>171</v>
      </c>
      <c r="E42" s="128"/>
      <c r="F42" s="129"/>
      <c r="H42" s="10"/>
      <c r="I42" s="14" t="s">
        <v>45</v>
      </c>
      <c r="J42" s="128" t="s">
        <v>171</v>
      </c>
      <c r="K42" s="128"/>
      <c r="L42" s="129"/>
      <c r="N42" s="10"/>
      <c r="O42" s="14" t="s">
        <v>45</v>
      </c>
      <c r="P42" s="128" t="s">
        <v>171</v>
      </c>
      <c r="Q42" s="128"/>
      <c r="R42" s="129"/>
      <c r="T42" s="10"/>
      <c r="U42" s="14" t="s">
        <v>45</v>
      </c>
      <c r="V42" s="128" t="s">
        <v>171</v>
      </c>
      <c r="W42" s="128"/>
      <c r="X42" s="129"/>
      <c r="Y42" s="23"/>
      <c r="Z42" s="10"/>
      <c r="AA42" s="14" t="s">
        <v>45</v>
      </c>
      <c r="AB42" s="128" t="s">
        <v>171</v>
      </c>
      <c r="AC42" s="128"/>
      <c r="AD42" s="129"/>
      <c r="AE42" s="23"/>
      <c r="AF42" s="23"/>
      <c r="AG42" s="18"/>
      <c r="AJ42" s="60"/>
    </row>
    <row r="43" spans="2:36" s="9" customFormat="1" x14ac:dyDescent="0.25">
      <c r="B43" s="10"/>
      <c r="D43" s="11"/>
      <c r="AG43" s="18"/>
      <c r="AJ43" s="60"/>
    </row>
    <row r="44" spans="2:36" s="9" customFormat="1" x14ac:dyDescent="0.25">
      <c r="B44" s="10"/>
      <c r="D44" s="11"/>
      <c r="AG44" s="18"/>
      <c r="AJ44" s="60"/>
    </row>
    <row r="45" spans="2:36" s="9" customFormat="1" x14ac:dyDescent="0.25">
      <c r="B45" s="10"/>
      <c r="D45" s="11"/>
      <c r="AG45" s="18"/>
      <c r="AJ45" s="60"/>
    </row>
    <row r="46" spans="2:36" s="9" customFormat="1" x14ac:dyDescent="0.25">
      <c r="B46" s="10"/>
      <c r="D46" s="11"/>
      <c r="AG46" s="18"/>
      <c r="AJ46" s="60"/>
    </row>
    <row r="47" spans="2:36" s="9" customFormat="1" x14ac:dyDescent="0.25">
      <c r="B47" s="10"/>
      <c r="D47" s="11"/>
      <c r="AG47" s="18"/>
      <c r="AJ47" s="60"/>
    </row>
    <row r="48" spans="2:36" s="9" customFormat="1" x14ac:dyDescent="0.25">
      <c r="B48" s="10"/>
      <c r="D48" s="11"/>
      <c r="AG48" s="18"/>
      <c r="AJ48" s="60"/>
    </row>
    <row r="49" spans="2:36" s="9" customFormat="1" x14ac:dyDescent="0.25">
      <c r="B49" s="10"/>
      <c r="D49" s="11"/>
      <c r="AG49" s="18"/>
      <c r="AJ49" s="60"/>
    </row>
    <row r="50" spans="2:36" s="9" customFormat="1" x14ac:dyDescent="0.25">
      <c r="B50" s="10"/>
      <c r="D50" s="11"/>
      <c r="AG50" s="18"/>
      <c r="AJ50" s="60"/>
    </row>
    <row r="51" spans="2:36" s="9" customFormat="1" x14ac:dyDescent="0.25">
      <c r="B51" s="10"/>
      <c r="D51" s="11"/>
      <c r="AG51" s="18"/>
      <c r="AJ51" s="60"/>
    </row>
    <row r="52" spans="2:36" s="9" customFormat="1" x14ac:dyDescent="0.25">
      <c r="B52" s="10"/>
      <c r="D52" s="11"/>
      <c r="AG52" s="18"/>
      <c r="AJ52" s="60"/>
    </row>
    <row r="53" spans="2:36" s="9" customFormat="1" x14ac:dyDescent="0.25">
      <c r="B53" s="10"/>
      <c r="D53" s="11"/>
      <c r="AG53" s="18"/>
      <c r="AJ53" s="60"/>
    </row>
    <row r="54" spans="2:36" s="9" customFormat="1" x14ac:dyDescent="0.25">
      <c r="B54" s="10"/>
      <c r="D54" s="11"/>
      <c r="AG54" s="18"/>
      <c r="AJ54" s="60"/>
    </row>
    <row r="55" spans="2:36" s="9" customFormat="1" x14ac:dyDescent="0.25">
      <c r="B55" s="10"/>
      <c r="D55" s="11"/>
      <c r="AG55" s="18"/>
      <c r="AJ55" s="60"/>
    </row>
    <row r="56" spans="2:36" s="9" customFormat="1" x14ac:dyDescent="0.25">
      <c r="B56" s="10"/>
      <c r="D56" s="11"/>
      <c r="AG56" s="18"/>
      <c r="AJ56" s="60"/>
    </row>
    <row r="57" spans="2:36" s="9" customFormat="1" x14ac:dyDescent="0.25">
      <c r="B57" s="10"/>
      <c r="D57" s="11"/>
      <c r="AG57" s="18"/>
      <c r="AJ57" s="60"/>
    </row>
    <row r="58" spans="2:36" s="9" customFormat="1" x14ac:dyDescent="0.25">
      <c r="B58" s="10"/>
      <c r="D58" s="11"/>
      <c r="AG58" s="18"/>
      <c r="AJ58" s="60"/>
    </row>
    <row r="59" spans="2:36" s="9" customFormat="1" x14ac:dyDescent="0.25">
      <c r="B59" s="10"/>
      <c r="D59" s="11"/>
      <c r="AG59" s="18"/>
      <c r="AJ59" s="60"/>
    </row>
    <row r="60" spans="2:36" s="9" customFormat="1" x14ac:dyDescent="0.25">
      <c r="B60" s="10"/>
      <c r="D60" s="11"/>
      <c r="AG60" s="18"/>
      <c r="AJ60" s="60"/>
    </row>
    <row r="61" spans="2:36" s="9" customFormat="1" x14ac:dyDescent="0.25">
      <c r="B61" s="10"/>
      <c r="D61" s="11"/>
      <c r="AG61" s="18"/>
      <c r="AJ61" s="60"/>
    </row>
    <row r="62" spans="2:36" s="9" customFormat="1" x14ac:dyDescent="0.25">
      <c r="B62" s="10"/>
      <c r="D62" s="11"/>
      <c r="AG62" s="18"/>
      <c r="AJ62" s="60"/>
    </row>
    <row r="63" spans="2:36" s="9" customFormat="1" x14ac:dyDescent="0.25">
      <c r="B63" s="10"/>
      <c r="D63" s="11"/>
      <c r="AG63" s="18"/>
      <c r="AJ63" s="60"/>
    </row>
    <row r="64" spans="2:36" s="9" customFormat="1" x14ac:dyDescent="0.25">
      <c r="B64" s="10"/>
      <c r="D64" s="11"/>
      <c r="AG64" s="18"/>
      <c r="AJ64" s="60"/>
    </row>
    <row r="65" spans="2:36" s="9" customFormat="1" x14ac:dyDescent="0.25">
      <c r="B65" s="10"/>
      <c r="D65" s="11"/>
      <c r="AG65" s="18"/>
      <c r="AJ65" s="60"/>
    </row>
    <row r="66" spans="2:36" s="9" customFormat="1" x14ac:dyDescent="0.25">
      <c r="B66" s="10"/>
      <c r="D66" s="11"/>
      <c r="AG66" s="18"/>
      <c r="AJ66" s="60"/>
    </row>
    <row r="67" spans="2:36" s="9" customFormat="1" x14ac:dyDescent="0.25">
      <c r="B67" s="10"/>
      <c r="D67" s="11"/>
      <c r="AG67" s="18"/>
      <c r="AJ67" s="60"/>
    </row>
    <row r="68" spans="2:36" s="9" customFormat="1" x14ac:dyDescent="0.25">
      <c r="B68" s="10"/>
      <c r="D68" s="11"/>
      <c r="AG68" s="18"/>
      <c r="AJ68" s="60"/>
    </row>
    <row r="69" spans="2:36" s="9" customFormat="1" x14ac:dyDescent="0.25">
      <c r="B69" s="10"/>
      <c r="D69" s="11"/>
      <c r="AG69" s="18"/>
      <c r="AJ69" s="60"/>
    </row>
    <row r="70" spans="2:36" s="9" customFormat="1" x14ac:dyDescent="0.25">
      <c r="B70" s="10"/>
      <c r="D70" s="11"/>
      <c r="AG70" s="18"/>
      <c r="AJ70" s="60"/>
    </row>
    <row r="71" spans="2:36" s="9" customFormat="1" x14ac:dyDescent="0.25">
      <c r="B71" s="10"/>
      <c r="D71" s="11"/>
      <c r="AG71" s="18"/>
      <c r="AJ71" s="60"/>
    </row>
    <row r="72" spans="2:36" s="9" customFormat="1" x14ac:dyDescent="0.25">
      <c r="B72" s="10"/>
      <c r="D72" s="11"/>
      <c r="AG72" s="18"/>
      <c r="AJ72" s="60"/>
    </row>
    <row r="73" spans="2:36" s="9" customFormat="1" x14ac:dyDescent="0.25">
      <c r="B73" s="10"/>
      <c r="D73" s="11"/>
      <c r="AG73" s="18"/>
      <c r="AJ73" s="60"/>
    </row>
    <row r="74" spans="2:36" s="9" customFormat="1" x14ac:dyDescent="0.25">
      <c r="B74" s="10"/>
      <c r="D74" s="11"/>
      <c r="AG74" s="18"/>
      <c r="AJ74" s="60"/>
    </row>
    <row r="75" spans="2:36" s="9" customFormat="1" x14ac:dyDescent="0.25">
      <c r="B75" s="10"/>
      <c r="D75" s="11"/>
      <c r="AG75" s="18"/>
      <c r="AJ75" s="60"/>
    </row>
    <row r="76" spans="2:36" s="9" customFormat="1" x14ac:dyDescent="0.25">
      <c r="B76" s="10"/>
      <c r="D76" s="11"/>
      <c r="AG76" s="18"/>
      <c r="AJ76" s="60"/>
    </row>
    <row r="77" spans="2:36" s="9" customFormat="1" x14ac:dyDescent="0.25">
      <c r="B77" s="10"/>
      <c r="D77" s="11"/>
      <c r="AG77" s="18"/>
      <c r="AJ77" s="60"/>
    </row>
    <row r="78" spans="2:36" s="9" customFormat="1" x14ac:dyDescent="0.25">
      <c r="B78" s="10"/>
      <c r="D78" s="11"/>
      <c r="AG78" s="18"/>
      <c r="AJ78" s="60"/>
    </row>
    <row r="79" spans="2:36" s="9" customFormat="1" x14ac:dyDescent="0.25">
      <c r="B79" s="10"/>
      <c r="D79" s="11"/>
      <c r="AG79" s="18"/>
      <c r="AJ79" s="60"/>
    </row>
    <row r="80" spans="2:36" s="9" customFormat="1" x14ac:dyDescent="0.25">
      <c r="B80" s="10"/>
      <c r="D80" s="11"/>
      <c r="AG80" s="18"/>
      <c r="AJ80" s="60"/>
    </row>
    <row r="81" spans="2:36" s="9" customFormat="1" x14ac:dyDescent="0.25">
      <c r="B81" s="10"/>
      <c r="D81" s="11"/>
      <c r="AG81" s="18"/>
      <c r="AJ81" s="60"/>
    </row>
    <row r="82" spans="2:36" s="9" customFormat="1" x14ac:dyDescent="0.25">
      <c r="B82" s="10"/>
      <c r="D82" s="11"/>
      <c r="AG82" s="18"/>
      <c r="AJ82" s="60"/>
    </row>
    <row r="83" spans="2:36" s="9" customFormat="1" x14ac:dyDescent="0.25">
      <c r="B83" s="10"/>
      <c r="D83" s="11"/>
      <c r="AG83" s="18"/>
      <c r="AJ83" s="60"/>
    </row>
    <row r="84" spans="2:36" s="9" customFormat="1" x14ac:dyDescent="0.25">
      <c r="B84" s="10"/>
      <c r="D84" s="11"/>
      <c r="AG84" s="18"/>
      <c r="AJ84" s="60"/>
    </row>
    <row r="85" spans="2:36" s="9" customFormat="1" x14ac:dyDescent="0.25">
      <c r="B85" s="10"/>
      <c r="D85" s="11"/>
      <c r="AG85" s="18"/>
      <c r="AJ85" s="60"/>
    </row>
    <row r="86" spans="2:36" s="9" customFormat="1" x14ac:dyDescent="0.25">
      <c r="B86" s="10"/>
      <c r="D86" s="11"/>
      <c r="AG86" s="18"/>
      <c r="AJ86" s="60"/>
    </row>
    <row r="87" spans="2:36" s="9" customFormat="1" x14ac:dyDescent="0.25">
      <c r="B87" s="10"/>
      <c r="D87" s="11"/>
      <c r="AG87" s="18"/>
      <c r="AJ87" s="60"/>
    </row>
    <row r="88" spans="2:36" s="9" customFormat="1" x14ac:dyDescent="0.25">
      <c r="B88" s="10"/>
      <c r="D88" s="11"/>
      <c r="AG88" s="18"/>
      <c r="AJ88" s="60"/>
    </row>
    <row r="89" spans="2:36" s="9" customFormat="1" x14ac:dyDescent="0.25">
      <c r="B89" s="10"/>
      <c r="D89" s="11"/>
      <c r="AG89" s="18"/>
      <c r="AJ89" s="60"/>
    </row>
    <row r="90" spans="2:36" s="9" customFormat="1" x14ac:dyDescent="0.25">
      <c r="B90" s="10"/>
      <c r="D90" s="11"/>
      <c r="AG90" s="18"/>
      <c r="AJ90" s="60"/>
    </row>
    <row r="91" spans="2:36" s="9" customFormat="1" x14ac:dyDescent="0.25">
      <c r="B91" s="10"/>
      <c r="D91" s="11"/>
      <c r="AG91" s="18"/>
      <c r="AJ91" s="60"/>
    </row>
    <row r="92" spans="2:36" s="9" customFormat="1" x14ac:dyDescent="0.25">
      <c r="B92" s="10"/>
      <c r="D92" s="11"/>
      <c r="AG92" s="18"/>
      <c r="AJ92" s="60"/>
    </row>
    <row r="93" spans="2:36" s="9" customFormat="1" x14ac:dyDescent="0.25">
      <c r="B93" s="10"/>
      <c r="D93" s="11"/>
      <c r="AG93" s="18"/>
      <c r="AJ93" s="60"/>
    </row>
    <row r="94" spans="2:36" s="9" customFormat="1" x14ac:dyDescent="0.25">
      <c r="B94" s="10"/>
      <c r="D94" s="11"/>
      <c r="AG94" s="18"/>
      <c r="AJ94" s="60"/>
    </row>
    <row r="95" spans="2:36" s="9" customFormat="1" x14ac:dyDescent="0.25">
      <c r="B95" s="10"/>
      <c r="D95" s="11"/>
      <c r="AG95" s="18"/>
      <c r="AJ95" s="60"/>
    </row>
    <row r="96" spans="2:36" s="9" customFormat="1" x14ac:dyDescent="0.25">
      <c r="B96" s="10"/>
      <c r="D96" s="11"/>
      <c r="AG96" s="18"/>
      <c r="AJ96" s="60"/>
    </row>
    <row r="97" spans="2:36" s="9" customFormat="1" x14ac:dyDescent="0.25">
      <c r="B97" s="10"/>
      <c r="D97" s="11"/>
      <c r="AG97" s="18"/>
      <c r="AJ97" s="60"/>
    </row>
    <row r="98" spans="2:36" s="9" customFormat="1" x14ac:dyDescent="0.25">
      <c r="B98" s="10"/>
      <c r="D98" s="11"/>
      <c r="AG98" s="18"/>
      <c r="AJ98" s="60"/>
    </row>
    <row r="99" spans="2:36" s="9" customFormat="1" x14ac:dyDescent="0.25">
      <c r="B99" s="10"/>
      <c r="D99" s="11"/>
      <c r="AG99" s="18"/>
      <c r="AJ99" s="60"/>
    </row>
    <row r="100" spans="2:36" s="9" customFormat="1" x14ac:dyDescent="0.25">
      <c r="B100" s="10"/>
      <c r="D100" s="11"/>
      <c r="AG100" s="18"/>
      <c r="AJ100" s="60"/>
    </row>
    <row r="101" spans="2:36" s="9" customFormat="1" x14ac:dyDescent="0.25">
      <c r="B101" s="10"/>
      <c r="D101" s="11"/>
      <c r="AG101" s="18"/>
      <c r="AJ101" s="60"/>
    </row>
    <row r="102" spans="2:36" s="9" customFormat="1" x14ac:dyDescent="0.25">
      <c r="B102" s="10"/>
      <c r="D102" s="11"/>
      <c r="AG102" s="18"/>
      <c r="AJ102" s="60"/>
    </row>
    <row r="103" spans="2:36" s="9" customFormat="1" x14ac:dyDescent="0.25">
      <c r="B103" s="10"/>
      <c r="D103" s="11"/>
      <c r="AG103" s="18"/>
      <c r="AJ103" s="60"/>
    </row>
    <row r="104" spans="2:36" s="9" customFormat="1" x14ac:dyDescent="0.25">
      <c r="B104" s="10"/>
      <c r="D104" s="11"/>
      <c r="AG104" s="18"/>
      <c r="AJ104" s="60"/>
    </row>
    <row r="105" spans="2:36" s="9" customFormat="1" x14ac:dyDescent="0.25">
      <c r="B105" s="10"/>
      <c r="D105" s="11"/>
      <c r="AG105" s="18"/>
      <c r="AJ105" s="60"/>
    </row>
    <row r="106" spans="2:36" s="9" customFormat="1" x14ac:dyDescent="0.25">
      <c r="B106" s="10"/>
      <c r="D106" s="11"/>
      <c r="AG106" s="18"/>
      <c r="AJ106" s="60"/>
    </row>
    <row r="107" spans="2:36" s="9" customFormat="1" x14ac:dyDescent="0.25">
      <c r="B107" s="10"/>
      <c r="D107" s="11"/>
      <c r="AG107" s="18"/>
      <c r="AJ107" s="60"/>
    </row>
    <row r="108" spans="2:36" s="9" customFormat="1" x14ac:dyDescent="0.25">
      <c r="B108" s="10"/>
      <c r="D108" s="11"/>
      <c r="AG108" s="18"/>
      <c r="AJ108" s="60"/>
    </row>
    <row r="109" spans="2:36" s="9" customFormat="1" x14ac:dyDescent="0.25">
      <c r="B109" s="10"/>
      <c r="D109" s="11"/>
      <c r="AG109" s="18"/>
      <c r="AJ109" s="60"/>
    </row>
    <row r="110" spans="2:36" s="9" customFormat="1" x14ac:dyDescent="0.25">
      <c r="B110" s="10"/>
      <c r="D110" s="11"/>
      <c r="AG110" s="18"/>
      <c r="AJ110" s="60"/>
    </row>
    <row r="111" spans="2:36" s="9" customFormat="1" x14ac:dyDescent="0.25">
      <c r="B111" s="10"/>
      <c r="D111" s="11"/>
      <c r="AG111" s="18"/>
      <c r="AJ111" s="60"/>
    </row>
    <row r="112" spans="2:36" s="9" customFormat="1" x14ac:dyDescent="0.25">
      <c r="B112" s="10"/>
      <c r="D112" s="11"/>
      <c r="AG112" s="18"/>
      <c r="AJ112" s="60"/>
    </row>
    <row r="113" spans="2:36" s="9" customFormat="1" x14ac:dyDescent="0.25">
      <c r="B113" s="10"/>
      <c r="D113" s="11"/>
      <c r="AG113" s="18"/>
      <c r="AJ113" s="60"/>
    </row>
    <row r="114" spans="2:36" s="9" customFormat="1" x14ac:dyDescent="0.25">
      <c r="B114" s="10"/>
      <c r="D114" s="11"/>
      <c r="AG114" s="18"/>
      <c r="AJ114" s="60"/>
    </row>
    <row r="115" spans="2:36" s="9" customFormat="1" x14ac:dyDescent="0.25">
      <c r="B115" s="10"/>
      <c r="D115" s="11"/>
      <c r="AG115" s="18"/>
      <c r="AJ115" s="60"/>
    </row>
    <row r="116" spans="2:36" s="9" customFormat="1" x14ac:dyDescent="0.25">
      <c r="B116" s="10"/>
      <c r="D116" s="11"/>
      <c r="AG116" s="18"/>
      <c r="AJ116" s="60"/>
    </row>
    <row r="117" spans="2:36" s="9" customFormat="1" x14ac:dyDescent="0.25">
      <c r="B117" s="10"/>
      <c r="D117" s="11"/>
      <c r="AG117" s="18"/>
      <c r="AJ117" s="60"/>
    </row>
    <row r="118" spans="2:36" s="9" customFormat="1" x14ac:dyDescent="0.25">
      <c r="B118" s="10"/>
      <c r="D118" s="11"/>
      <c r="AG118" s="18"/>
      <c r="AJ118" s="60"/>
    </row>
    <row r="119" spans="2:36" s="9" customFormat="1" x14ac:dyDescent="0.25">
      <c r="B119" s="10"/>
      <c r="D119" s="11"/>
      <c r="AG119" s="18"/>
      <c r="AJ119" s="60"/>
    </row>
    <row r="120" spans="2:36" s="9" customFormat="1" x14ac:dyDescent="0.25">
      <c r="B120" s="10"/>
      <c r="D120" s="11"/>
      <c r="AG120" s="18"/>
      <c r="AJ120" s="60"/>
    </row>
    <row r="121" spans="2:36" s="9" customFormat="1" x14ac:dyDescent="0.25">
      <c r="B121" s="10"/>
      <c r="D121" s="11"/>
      <c r="AG121" s="18"/>
      <c r="AJ121" s="60"/>
    </row>
    <row r="122" spans="2:36" s="9" customFormat="1" x14ac:dyDescent="0.25">
      <c r="B122" s="10"/>
      <c r="D122" s="11"/>
      <c r="AG122" s="18"/>
      <c r="AJ122" s="60"/>
    </row>
    <row r="123" spans="2:36" s="9" customFormat="1" x14ac:dyDescent="0.25">
      <c r="B123" s="10"/>
      <c r="D123" s="11"/>
      <c r="AG123" s="18"/>
      <c r="AJ123" s="60"/>
    </row>
    <row r="124" spans="2:36" s="9" customFormat="1" x14ac:dyDescent="0.25">
      <c r="B124" s="10"/>
      <c r="D124" s="11"/>
      <c r="AG124" s="18"/>
      <c r="AJ124" s="60"/>
    </row>
    <row r="125" spans="2:36" s="9" customFormat="1" x14ac:dyDescent="0.25">
      <c r="B125" s="10"/>
      <c r="D125" s="11"/>
      <c r="AG125" s="18"/>
      <c r="AJ125" s="60"/>
    </row>
    <row r="126" spans="2:36" s="9" customFormat="1" x14ac:dyDescent="0.25">
      <c r="B126" s="10"/>
      <c r="D126" s="11"/>
      <c r="AG126" s="18"/>
      <c r="AJ126" s="60"/>
    </row>
    <row r="127" spans="2:36" s="9" customFormat="1" x14ac:dyDescent="0.25">
      <c r="B127" s="10"/>
      <c r="D127" s="11"/>
      <c r="AG127" s="18"/>
      <c r="AJ127" s="60"/>
    </row>
    <row r="128" spans="2:36" s="9" customFormat="1" x14ac:dyDescent="0.25">
      <c r="B128" s="10"/>
      <c r="D128" s="11"/>
      <c r="AG128" s="18"/>
      <c r="AJ128" s="60"/>
    </row>
    <row r="129" spans="2:36" s="9" customFormat="1" x14ac:dyDescent="0.25">
      <c r="B129" s="10"/>
      <c r="D129" s="11"/>
      <c r="AG129" s="18"/>
      <c r="AJ129" s="60"/>
    </row>
    <row r="130" spans="2:36" s="9" customFormat="1" x14ac:dyDescent="0.25">
      <c r="B130" s="10"/>
      <c r="D130" s="11"/>
      <c r="AG130" s="18"/>
      <c r="AJ130" s="60"/>
    </row>
    <row r="131" spans="2:36" s="9" customFormat="1" x14ac:dyDescent="0.25">
      <c r="B131" s="10"/>
      <c r="D131" s="11"/>
      <c r="AG131" s="18"/>
      <c r="AJ131" s="60"/>
    </row>
    <row r="132" spans="2:36" s="9" customFormat="1" x14ac:dyDescent="0.25">
      <c r="B132" s="10"/>
      <c r="D132" s="11"/>
      <c r="AG132" s="18"/>
      <c r="AJ132" s="60"/>
    </row>
    <row r="133" spans="2:36" s="9" customFormat="1" x14ac:dyDescent="0.25">
      <c r="B133" s="10"/>
      <c r="D133" s="11"/>
      <c r="AG133" s="18"/>
      <c r="AJ133" s="60"/>
    </row>
    <row r="134" spans="2:36" s="9" customFormat="1" x14ac:dyDescent="0.25">
      <c r="B134" s="10"/>
      <c r="D134" s="11"/>
      <c r="AG134" s="18"/>
      <c r="AJ134" s="60"/>
    </row>
    <row r="135" spans="2:36" s="9" customFormat="1" x14ac:dyDescent="0.25">
      <c r="B135" s="10"/>
      <c r="D135" s="11"/>
      <c r="AG135" s="18"/>
      <c r="AJ135" s="60"/>
    </row>
    <row r="136" spans="2:36" s="9" customFormat="1" x14ac:dyDescent="0.25">
      <c r="B136" s="10"/>
      <c r="D136" s="11"/>
      <c r="AG136" s="18"/>
      <c r="AJ136" s="60"/>
    </row>
    <row r="137" spans="2:36" s="9" customFormat="1" x14ac:dyDescent="0.25">
      <c r="B137" s="10"/>
      <c r="D137" s="11"/>
      <c r="AG137" s="18"/>
      <c r="AJ137" s="60"/>
    </row>
    <row r="138" spans="2:36" s="9" customFormat="1" x14ac:dyDescent="0.25">
      <c r="B138" s="10"/>
      <c r="D138" s="11"/>
      <c r="AG138" s="18"/>
      <c r="AJ138" s="60"/>
    </row>
    <row r="139" spans="2:36" s="9" customFormat="1" x14ac:dyDescent="0.25">
      <c r="B139" s="10"/>
      <c r="D139" s="11"/>
      <c r="AG139" s="18"/>
      <c r="AJ139" s="60"/>
    </row>
    <row r="140" spans="2:36" s="9" customFormat="1" x14ac:dyDescent="0.25">
      <c r="B140" s="10"/>
      <c r="D140" s="11"/>
      <c r="AG140" s="18"/>
      <c r="AJ140" s="60"/>
    </row>
    <row r="141" spans="2:36" s="9" customFormat="1" x14ac:dyDescent="0.25">
      <c r="B141" s="10"/>
      <c r="D141" s="11"/>
      <c r="AG141" s="18"/>
      <c r="AJ141" s="60"/>
    </row>
    <row r="142" spans="2:36" s="9" customFormat="1" x14ac:dyDescent="0.25">
      <c r="B142" s="10"/>
      <c r="D142" s="11"/>
      <c r="AG142" s="18"/>
      <c r="AJ142" s="60"/>
    </row>
    <row r="143" spans="2:36" s="9" customFormat="1" x14ac:dyDescent="0.25">
      <c r="B143" s="10"/>
      <c r="D143" s="11"/>
      <c r="AG143" s="18"/>
      <c r="AJ143" s="60"/>
    </row>
    <row r="144" spans="2:36" s="9" customFormat="1" x14ac:dyDescent="0.25">
      <c r="B144" s="10"/>
      <c r="D144" s="11"/>
      <c r="AG144" s="18"/>
      <c r="AJ144" s="60"/>
    </row>
    <row r="145" spans="2:36" s="9" customFormat="1" x14ac:dyDescent="0.25">
      <c r="B145" s="10"/>
      <c r="D145" s="11"/>
      <c r="AG145" s="18"/>
      <c r="AJ145" s="60"/>
    </row>
    <row r="146" spans="2:36" s="9" customFormat="1" x14ac:dyDescent="0.25">
      <c r="B146" s="10"/>
      <c r="D146" s="11"/>
      <c r="AG146" s="18"/>
      <c r="AJ146" s="60"/>
    </row>
    <row r="147" spans="2:36" s="9" customFormat="1" x14ac:dyDescent="0.25">
      <c r="B147" s="10"/>
      <c r="D147" s="11"/>
      <c r="AG147" s="18"/>
      <c r="AJ147" s="60"/>
    </row>
    <row r="148" spans="2:36" s="9" customFormat="1" x14ac:dyDescent="0.25">
      <c r="B148" s="10"/>
      <c r="D148" s="11"/>
      <c r="AG148" s="18"/>
      <c r="AJ148" s="60"/>
    </row>
    <row r="149" spans="2:36" s="9" customFormat="1" x14ac:dyDescent="0.25">
      <c r="B149" s="10"/>
      <c r="D149" s="11"/>
      <c r="AG149" s="18"/>
      <c r="AJ149" s="60"/>
    </row>
    <row r="150" spans="2:36" s="9" customFormat="1" x14ac:dyDescent="0.25">
      <c r="B150" s="10"/>
      <c r="D150" s="11"/>
      <c r="AG150" s="18"/>
      <c r="AJ150" s="60"/>
    </row>
    <row r="151" spans="2:36" s="9" customFormat="1" x14ac:dyDescent="0.25">
      <c r="B151" s="10"/>
      <c r="D151" s="11"/>
      <c r="AG151" s="18"/>
      <c r="AJ151" s="60"/>
    </row>
    <row r="152" spans="2:36" s="9" customFormat="1" x14ac:dyDescent="0.25">
      <c r="B152" s="10"/>
      <c r="D152" s="11"/>
      <c r="AG152" s="18"/>
      <c r="AJ152" s="60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I2:AJ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584F-E5C7-4B6C-ACC3-83140B96E36B}">
  <sheetPr>
    <tabColor theme="5"/>
  </sheetPr>
  <dimension ref="A1:BI152"/>
  <sheetViews>
    <sheetView zoomScale="115" zoomScaleNormal="115" workbookViewId="0">
      <selection activeCell="AN45" sqref="AN45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6.7109375" style="9" customWidth="1"/>
    <col min="15" max="15" width="21.85546875" style="9" customWidth="1"/>
    <col min="16" max="16" width="7.42578125" style="9" customWidth="1"/>
    <col min="17" max="18" width="11.42578125" style="9" customWidth="1"/>
    <col min="19" max="19" width="4" style="9" customWidth="1"/>
    <col min="20" max="20" width="6.7109375" style="9" customWidth="1"/>
    <col min="21" max="21" width="21.85546875" style="9" customWidth="1"/>
    <col min="22" max="22" width="7.42578125" style="9" customWidth="1"/>
    <col min="23" max="24" width="11.42578125" style="9" customWidth="1"/>
    <col min="25" max="25" width="4.5703125" style="9" customWidth="1"/>
    <col min="26" max="26" width="11.42578125" style="9" hidden="1" customWidth="1"/>
    <col min="27" max="27" width="21.85546875" style="9" hidden="1" customWidth="1"/>
    <col min="28" max="31" width="11.42578125" style="9" hidden="1" customWidth="1"/>
    <col min="32" max="32" width="3.42578125" style="9" customWidth="1"/>
    <col min="33" max="33" width="0.85546875" style="18" customWidth="1"/>
    <col min="34" max="34" width="11.42578125" style="9"/>
    <col min="35" max="35" width="24" style="9" customWidth="1"/>
    <col min="36" max="61" width="11.42578125" style="9"/>
  </cols>
  <sheetData>
    <row r="1" spans="1:61" s="9" customFormat="1" x14ac:dyDescent="0.25">
      <c r="B1" s="10"/>
      <c r="D1" s="11"/>
      <c r="AG1" s="18"/>
    </row>
    <row r="2" spans="1:61" s="9" customFormat="1" ht="28.5" customHeight="1" thickBot="1" x14ac:dyDescent="0.3">
      <c r="B2" s="10"/>
      <c r="D2" s="11"/>
      <c r="AG2" s="18"/>
      <c r="AI2" s="86" t="s">
        <v>53</v>
      </c>
      <c r="AJ2" s="86"/>
      <c r="AK2" s="26"/>
      <c r="AL2" s="26"/>
      <c r="AM2" s="26"/>
    </row>
    <row r="3" spans="1:61" ht="22.5" customHeight="1" thickBot="1" x14ac:dyDescent="0.3">
      <c r="C3" s="87" t="s">
        <v>272</v>
      </c>
      <c r="D3" s="88"/>
      <c r="E3" s="88"/>
      <c r="F3" s="89"/>
      <c r="H3" s="8"/>
      <c r="I3" s="87" t="s">
        <v>273</v>
      </c>
      <c r="J3" s="88"/>
      <c r="K3" s="88"/>
      <c r="L3" s="89"/>
      <c r="N3" s="8"/>
      <c r="O3" s="87" t="s">
        <v>274</v>
      </c>
      <c r="P3" s="88"/>
      <c r="Q3" s="88"/>
      <c r="R3" s="89"/>
      <c r="T3" s="8"/>
      <c r="U3" s="87" t="s">
        <v>275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F3" s="20"/>
      <c r="AI3" s="24"/>
      <c r="AJ3" s="24"/>
      <c r="AK3" s="24"/>
      <c r="AL3" s="24"/>
      <c r="AM3" s="24"/>
    </row>
    <row r="4" spans="1:61" s="32" customFormat="1" ht="15.75" customHeight="1" thickBot="1" x14ac:dyDescent="0.3">
      <c r="A4" s="29"/>
      <c r="B4" s="91" t="s">
        <v>9</v>
      </c>
      <c r="C4" s="27" t="s">
        <v>1</v>
      </c>
      <c r="D4" s="12"/>
      <c r="E4" s="94"/>
      <c r="F4" s="95"/>
      <c r="G4" s="29"/>
      <c r="H4" s="91" t="s">
        <v>9</v>
      </c>
      <c r="I4" s="27" t="s">
        <v>1</v>
      </c>
      <c r="J4" s="12">
        <v>232</v>
      </c>
      <c r="K4" s="94"/>
      <c r="L4" s="95"/>
      <c r="M4" s="29"/>
      <c r="N4" s="91" t="s">
        <v>9</v>
      </c>
      <c r="O4" s="27" t="s">
        <v>1</v>
      </c>
      <c r="P4" s="12">
        <v>62</v>
      </c>
      <c r="Q4" s="94"/>
      <c r="R4" s="95"/>
      <c r="S4" s="29"/>
      <c r="T4" s="91" t="s">
        <v>9</v>
      </c>
      <c r="U4" s="27" t="s">
        <v>1</v>
      </c>
      <c r="V4" s="12"/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0"/>
      <c r="AG4" s="31"/>
      <c r="AH4" s="29"/>
      <c r="AI4" s="28" t="s">
        <v>1</v>
      </c>
      <c r="AJ4" s="25">
        <f>J4+P4+V4+D4</f>
        <v>294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5.75" customHeight="1" x14ac:dyDescent="0.25">
      <c r="B5" s="92"/>
      <c r="C5" s="6" t="s">
        <v>0</v>
      </c>
      <c r="D5" s="16"/>
      <c r="E5" s="96"/>
      <c r="F5" s="97"/>
      <c r="H5" s="92"/>
      <c r="I5" s="6" t="s">
        <v>0</v>
      </c>
      <c r="J5" s="16"/>
      <c r="K5" s="96"/>
      <c r="L5" s="97"/>
      <c r="N5" s="92"/>
      <c r="O5" s="6" t="s">
        <v>0</v>
      </c>
      <c r="P5" s="16">
        <v>19</v>
      </c>
      <c r="Q5" s="96"/>
      <c r="R5" s="97"/>
      <c r="T5" s="92"/>
      <c r="U5" s="6" t="s">
        <v>0</v>
      </c>
      <c r="V5" s="16"/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F5" s="17"/>
      <c r="AI5" s="6" t="s">
        <v>0</v>
      </c>
      <c r="AJ5" s="16">
        <f>J5+P5+V5</f>
        <v>19</v>
      </c>
    </row>
    <row r="6" spans="1:61" ht="15.75" customHeight="1" x14ac:dyDescent="0.25">
      <c r="B6" s="92"/>
      <c r="C6" s="2" t="s">
        <v>2</v>
      </c>
      <c r="D6" s="4"/>
      <c r="E6" s="96"/>
      <c r="F6" s="97"/>
      <c r="H6" s="92"/>
      <c r="I6" s="2" t="s">
        <v>2</v>
      </c>
      <c r="J6" s="4"/>
      <c r="K6" s="96"/>
      <c r="L6" s="97"/>
      <c r="N6" s="92"/>
      <c r="O6" s="2" t="s">
        <v>2</v>
      </c>
      <c r="P6" s="4">
        <v>12</v>
      </c>
      <c r="Q6" s="96"/>
      <c r="R6" s="97"/>
      <c r="T6" s="92"/>
      <c r="U6" s="2" t="s">
        <v>2</v>
      </c>
      <c r="V6" s="4"/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F6" s="17"/>
      <c r="AI6" s="2" t="s">
        <v>2</v>
      </c>
      <c r="AJ6" s="4">
        <f t="shared" ref="AJ6:AJ15" si="0">+J6+P6+V6</f>
        <v>12</v>
      </c>
    </row>
    <row r="7" spans="1:61" x14ac:dyDescent="0.25">
      <c r="B7" s="92"/>
      <c r="C7" s="2" t="s">
        <v>3</v>
      </c>
      <c r="D7" s="4"/>
      <c r="E7" s="96"/>
      <c r="F7" s="97"/>
      <c r="H7" s="92"/>
      <c r="I7" s="2" t="s">
        <v>3</v>
      </c>
      <c r="J7" s="4"/>
      <c r="K7" s="96"/>
      <c r="L7" s="97"/>
      <c r="N7" s="92"/>
      <c r="O7" s="2" t="s">
        <v>3</v>
      </c>
      <c r="P7" s="4">
        <v>25</v>
      </c>
      <c r="Q7" s="96"/>
      <c r="R7" s="97"/>
      <c r="T7" s="92"/>
      <c r="U7" s="2" t="s">
        <v>3</v>
      </c>
      <c r="V7" s="4"/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F7" s="17"/>
      <c r="AI7" s="2" t="s">
        <v>3</v>
      </c>
      <c r="AJ7" s="4">
        <f t="shared" si="0"/>
        <v>25</v>
      </c>
    </row>
    <row r="8" spans="1:61" x14ac:dyDescent="0.25">
      <c r="B8" s="92"/>
      <c r="C8" s="2" t="s">
        <v>4</v>
      </c>
      <c r="D8" s="4"/>
      <c r="E8" s="96"/>
      <c r="F8" s="97"/>
      <c r="H8" s="92"/>
      <c r="I8" s="2" t="s">
        <v>4</v>
      </c>
      <c r="J8" s="4"/>
      <c r="K8" s="96"/>
      <c r="L8" s="97"/>
      <c r="N8" s="92"/>
      <c r="O8" s="2" t="s">
        <v>4</v>
      </c>
      <c r="P8" s="4">
        <v>7</v>
      </c>
      <c r="Q8" s="96"/>
      <c r="R8" s="97"/>
      <c r="T8" s="92"/>
      <c r="U8" s="2" t="s">
        <v>4</v>
      </c>
      <c r="V8" s="4"/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F8" s="17"/>
      <c r="AI8" s="2" t="s">
        <v>4</v>
      </c>
      <c r="AJ8" s="4">
        <f t="shared" si="0"/>
        <v>7</v>
      </c>
    </row>
    <row r="9" spans="1:61" x14ac:dyDescent="0.25">
      <c r="B9" s="92"/>
      <c r="C9" s="2" t="s">
        <v>5</v>
      </c>
      <c r="D9" s="4"/>
      <c r="E9" s="96"/>
      <c r="F9" s="97"/>
      <c r="H9" s="92"/>
      <c r="I9" s="2" t="s">
        <v>5</v>
      </c>
      <c r="J9" s="4"/>
      <c r="K9" s="96"/>
      <c r="L9" s="97"/>
      <c r="N9" s="92"/>
      <c r="O9" s="2" t="s">
        <v>5</v>
      </c>
      <c r="P9" s="4">
        <v>11</v>
      </c>
      <c r="Q9" s="96"/>
      <c r="R9" s="97"/>
      <c r="T9" s="92"/>
      <c r="U9" s="2" t="s">
        <v>5</v>
      </c>
      <c r="V9" s="4"/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F9" s="17"/>
      <c r="AI9" s="2" t="s">
        <v>5</v>
      </c>
      <c r="AJ9" s="4">
        <f t="shared" si="0"/>
        <v>11</v>
      </c>
    </row>
    <row r="10" spans="1:61" ht="15.75" thickBot="1" x14ac:dyDescent="0.3">
      <c r="B10" s="92"/>
      <c r="C10" s="7" t="s">
        <v>6</v>
      </c>
      <c r="D10" s="15"/>
      <c r="E10" s="96"/>
      <c r="F10" s="97"/>
      <c r="H10" s="92"/>
      <c r="I10" s="7" t="s">
        <v>6</v>
      </c>
      <c r="J10" s="15"/>
      <c r="K10" s="96"/>
      <c r="L10" s="97"/>
      <c r="N10" s="92"/>
      <c r="O10" s="7" t="s">
        <v>6</v>
      </c>
      <c r="P10" s="15"/>
      <c r="Q10" s="96"/>
      <c r="R10" s="97"/>
      <c r="T10" s="92"/>
      <c r="U10" s="7" t="s">
        <v>6</v>
      </c>
      <c r="V10" s="15"/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F10" s="17"/>
      <c r="AI10" s="7" t="s">
        <v>6</v>
      </c>
      <c r="AJ10" s="15">
        <f t="shared" si="0"/>
        <v>0</v>
      </c>
    </row>
    <row r="11" spans="1:61" ht="15.75" thickBot="1" x14ac:dyDescent="0.3">
      <c r="B11" s="92"/>
      <c r="C11" s="2" t="s">
        <v>7</v>
      </c>
      <c r="D11" s="4"/>
      <c r="E11" s="98" t="s">
        <v>33</v>
      </c>
      <c r="F11" s="99"/>
      <c r="H11" s="92"/>
      <c r="I11" s="2" t="s">
        <v>7</v>
      </c>
      <c r="J11" s="4"/>
      <c r="K11" s="98" t="s">
        <v>33</v>
      </c>
      <c r="L11" s="99"/>
      <c r="N11" s="92"/>
      <c r="O11" s="2" t="s">
        <v>7</v>
      </c>
      <c r="P11" s="4"/>
      <c r="Q11" s="98" t="s">
        <v>33</v>
      </c>
      <c r="R11" s="99"/>
      <c r="T11" s="92"/>
      <c r="U11" s="2" t="s">
        <v>7</v>
      </c>
      <c r="V11" s="4"/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F11" s="19"/>
      <c r="AI11" s="2" t="s">
        <v>7</v>
      </c>
      <c r="AJ11" s="4">
        <f t="shared" si="0"/>
        <v>0</v>
      </c>
    </row>
    <row r="12" spans="1:61" x14ac:dyDescent="0.25">
      <c r="B12" s="92"/>
      <c r="C12" s="2" t="s">
        <v>49</v>
      </c>
      <c r="D12" s="4"/>
      <c r="E12" s="17"/>
      <c r="F12" s="17"/>
      <c r="H12" s="92"/>
      <c r="I12" s="2" t="s">
        <v>49</v>
      </c>
      <c r="J12" s="4"/>
      <c r="K12" s="17"/>
      <c r="L12" s="17"/>
      <c r="N12" s="92"/>
      <c r="O12" s="2" t="s">
        <v>49</v>
      </c>
      <c r="P12" s="4">
        <v>2</v>
      </c>
      <c r="Q12" s="17"/>
      <c r="R12" s="17"/>
      <c r="T12" s="92"/>
      <c r="U12" s="2" t="s">
        <v>49</v>
      </c>
      <c r="V12" s="4"/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F12" s="17"/>
      <c r="AI12" s="2" t="s">
        <v>49</v>
      </c>
      <c r="AJ12" s="4">
        <f t="shared" si="0"/>
        <v>2</v>
      </c>
    </row>
    <row r="13" spans="1:61" x14ac:dyDescent="0.25">
      <c r="B13" s="92"/>
      <c r="C13" s="2" t="s">
        <v>50</v>
      </c>
      <c r="D13" s="4"/>
      <c r="E13" s="17"/>
      <c r="F13" s="17"/>
      <c r="H13" s="92"/>
      <c r="I13" s="2" t="s">
        <v>50</v>
      </c>
      <c r="J13" s="4"/>
      <c r="K13" s="17"/>
      <c r="L13" s="17"/>
      <c r="N13" s="92"/>
      <c r="O13" s="2" t="s">
        <v>50</v>
      </c>
      <c r="P13" s="4"/>
      <c r="Q13" s="17"/>
      <c r="R13" s="17"/>
      <c r="T13" s="92"/>
      <c r="U13" s="2" t="s">
        <v>50</v>
      </c>
      <c r="V13" s="4"/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F13" s="17"/>
      <c r="AI13" s="2" t="s">
        <v>50</v>
      </c>
      <c r="AJ13" s="4">
        <f t="shared" si="0"/>
        <v>0</v>
      </c>
    </row>
    <row r="14" spans="1:61" x14ac:dyDescent="0.25">
      <c r="B14" s="92"/>
      <c r="C14" s="2" t="s">
        <v>51</v>
      </c>
      <c r="D14" s="4"/>
      <c r="E14" s="17"/>
      <c r="F14" s="17"/>
      <c r="H14" s="92"/>
      <c r="I14" s="2" t="s">
        <v>51</v>
      </c>
      <c r="J14" s="4"/>
      <c r="K14" s="17"/>
      <c r="L14" s="17"/>
      <c r="N14" s="92"/>
      <c r="O14" s="2" t="s">
        <v>51</v>
      </c>
      <c r="P14" s="4"/>
      <c r="Q14" s="17"/>
      <c r="R14" s="17"/>
      <c r="T14" s="92"/>
      <c r="U14" s="2" t="s">
        <v>51</v>
      </c>
      <c r="V14" s="4"/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F14" s="17"/>
      <c r="AI14" s="2" t="s">
        <v>51</v>
      </c>
      <c r="AJ14" s="4">
        <f t="shared" si="0"/>
        <v>0</v>
      </c>
    </row>
    <row r="15" spans="1:61" ht="15.75" thickBot="1" x14ac:dyDescent="0.3">
      <c r="B15" s="93"/>
      <c r="C15" s="3" t="s">
        <v>52</v>
      </c>
      <c r="D15" s="5"/>
      <c r="E15" s="90"/>
      <c r="F15" s="90"/>
      <c r="H15" s="93"/>
      <c r="I15" s="3" t="s">
        <v>52</v>
      </c>
      <c r="J15" s="5"/>
      <c r="K15" s="90"/>
      <c r="L15" s="90"/>
      <c r="N15" s="93"/>
      <c r="O15" s="3" t="s">
        <v>52</v>
      </c>
      <c r="P15" s="5"/>
      <c r="Q15" s="90"/>
      <c r="R15" s="90"/>
      <c r="T15" s="93"/>
      <c r="U15" s="3" t="s">
        <v>52</v>
      </c>
      <c r="V15" s="5"/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F15" s="19"/>
      <c r="AI15" s="3" t="s">
        <v>52</v>
      </c>
      <c r="AJ15" s="5">
        <f t="shared" si="0"/>
        <v>0</v>
      </c>
    </row>
    <row r="16" spans="1:61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G16" s="18"/>
    </row>
    <row r="17" spans="2:36" x14ac:dyDescent="0.25">
      <c r="B17" s="104" t="s">
        <v>28</v>
      </c>
      <c r="C17" s="6" t="s">
        <v>10</v>
      </c>
      <c r="D17" s="107" t="s">
        <v>276</v>
      </c>
      <c r="E17" s="108"/>
      <c r="F17" s="9"/>
      <c r="H17" s="104" t="s">
        <v>28</v>
      </c>
      <c r="I17" s="6" t="s">
        <v>10</v>
      </c>
      <c r="J17" s="107" t="s">
        <v>34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34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6" ht="15.75" thickBot="1" x14ac:dyDescent="0.3">
      <c r="B18" s="105"/>
      <c r="C18" s="2" t="s">
        <v>11</v>
      </c>
      <c r="D18" s="100" t="s">
        <v>101</v>
      </c>
      <c r="E18" s="101"/>
      <c r="F18" s="9"/>
      <c r="H18" s="105"/>
      <c r="I18" s="2" t="s">
        <v>11</v>
      </c>
      <c r="J18" s="100" t="s">
        <v>35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35</v>
      </c>
      <c r="W18" s="101"/>
      <c r="Z18" s="105"/>
      <c r="AA18" s="2" t="s">
        <v>11</v>
      </c>
      <c r="AB18" s="100" t="s">
        <v>35</v>
      </c>
      <c r="AC18" s="101"/>
    </row>
    <row r="19" spans="2:36" ht="15.75" thickBot="1" x14ac:dyDescent="0.3">
      <c r="B19" s="105"/>
      <c r="C19" s="2" t="s">
        <v>12</v>
      </c>
      <c r="D19" s="100" t="s">
        <v>101</v>
      </c>
      <c r="E19" s="101"/>
      <c r="F19" s="9"/>
      <c r="H19" s="105"/>
      <c r="I19" s="2" t="s">
        <v>12</v>
      </c>
      <c r="J19" s="100" t="s">
        <v>101</v>
      </c>
      <c r="K19" s="101"/>
      <c r="N19" s="105"/>
      <c r="O19" s="2" t="s">
        <v>12</v>
      </c>
      <c r="P19" s="100" t="s">
        <v>277</v>
      </c>
      <c r="Q19" s="101"/>
      <c r="T19" s="105"/>
      <c r="U19" s="2" t="s">
        <v>12</v>
      </c>
      <c r="V19" s="100" t="s">
        <v>277</v>
      </c>
      <c r="W19" s="101"/>
      <c r="Z19" s="105"/>
      <c r="AA19" s="2" t="s">
        <v>12</v>
      </c>
      <c r="AB19" s="100" t="s">
        <v>36</v>
      </c>
      <c r="AC19" s="101"/>
      <c r="AI19" s="51" t="s">
        <v>54</v>
      </c>
      <c r="AJ19" s="52">
        <f>+AJ20+AJ21</f>
        <v>4</v>
      </c>
    </row>
    <row r="20" spans="2:36" ht="15.75" thickBot="1" x14ac:dyDescent="0.3">
      <c r="B20" s="106"/>
      <c r="C20" s="3" t="s">
        <v>13</v>
      </c>
      <c r="D20" s="147" t="s">
        <v>278</v>
      </c>
      <c r="E20" s="103"/>
      <c r="F20" s="9"/>
      <c r="H20" s="106"/>
      <c r="I20" s="3" t="s">
        <v>13</v>
      </c>
      <c r="J20" s="102"/>
      <c r="K20" s="103"/>
      <c r="N20" s="106"/>
      <c r="O20" s="3" t="s">
        <v>13</v>
      </c>
      <c r="P20" s="102"/>
      <c r="Q20" s="103"/>
      <c r="T20" s="106"/>
      <c r="U20" s="3" t="s">
        <v>13</v>
      </c>
      <c r="V20" s="102"/>
      <c r="W20" s="103"/>
      <c r="Z20" s="106"/>
      <c r="AA20" s="3" t="s">
        <v>13</v>
      </c>
      <c r="AB20" s="102" t="s">
        <v>36</v>
      </c>
      <c r="AC20" s="103"/>
      <c r="AI20" s="49" t="s">
        <v>55</v>
      </c>
      <c r="AJ20" s="50">
        <v>3</v>
      </c>
    </row>
    <row r="21" spans="2:36" ht="15.75" thickBot="1" x14ac:dyDescent="0.3">
      <c r="B21" s="109" t="s">
        <v>29</v>
      </c>
      <c r="C21" s="6" t="s">
        <v>14</v>
      </c>
      <c r="D21" s="107" t="s">
        <v>279</v>
      </c>
      <c r="E21" s="108"/>
      <c r="F21" s="9"/>
      <c r="H21" s="109" t="s">
        <v>29</v>
      </c>
      <c r="I21" s="6" t="s">
        <v>14</v>
      </c>
      <c r="J21" s="107" t="s">
        <v>280</v>
      </c>
      <c r="K21" s="108"/>
      <c r="N21" s="109" t="s">
        <v>29</v>
      </c>
      <c r="O21" s="6" t="s">
        <v>14</v>
      </c>
      <c r="P21" s="107" t="s">
        <v>281</v>
      </c>
      <c r="Q21" s="108"/>
      <c r="T21" s="109" t="s">
        <v>29</v>
      </c>
      <c r="U21" s="6" t="s">
        <v>14</v>
      </c>
      <c r="V21" s="107" t="s">
        <v>282</v>
      </c>
      <c r="W21" s="108"/>
      <c r="Z21" s="109" t="s">
        <v>29</v>
      </c>
      <c r="AA21" s="6" t="s">
        <v>14</v>
      </c>
      <c r="AB21" s="107" t="s">
        <v>37</v>
      </c>
      <c r="AC21" s="108"/>
      <c r="AI21" s="47" t="s">
        <v>56</v>
      </c>
      <c r="AJ21" s="48">
        <v>1</v>
      </c>
    </row>
    <row r="22" spans="2:36" x14ac:dyDescent="0.25">
      <c r="B22" s="110"/>
      <c r="C22" s="2" t="s">
        <v>15</v>
      </c>
      <c r="D22" s="100" t="s">
        <v>283</v>
      </c>
      <c r="E22" s="101"/>
      <c r="F22" s="9"/>
      <c r="H22" s="110"/>
      <c r="I22" s="2" t="s">
        <v>15</v>
      </c>
      <c r="J22" s="100" t="s">
        <v>284</v>
      </c>
      <c r="K22" s="101"/>
      <c r="N22" s="110"/>
      <c r="O22" s="2" t="s">
        <v>15</v>
      </c>
      <c r="P22" s="100" t="s">
        <v>285</v>
      </c>
      <c r="Q22" s="101"/>
      <c r="T22" s="110"/>
      <c r="U22" s="2" t="s">
        <v>15</v>
      </c>
      <c r="V22" s="100" t="s">
        <v>286</v>
      </c>
      <c r="W22" s="101"/>
      <c r="Z22" s="110"/>
      <c r="AA22" s="2" t="s">
        <v>15</v>
      </c>
      <c r="AB22" s="100" t="s">
        <v>38</v>
      </c>
      <c r="AC22" s="101"/>
    </row>
    <row r="23" spans="2:36" x14ac:dyDescent="0.25">
      <c r="B23" s="110"/>
      <c r="C23" s="2" t="s">
        <v>16</v>
      </c>
      <c r="D23" s="137">
        <v>4127029010</v>
      </c>
      <c r="E23" s="101"/>
      <c r="F23" s="9"/>
      <c r="H23" s="110"/>
      <c r="I23" s="2" t="s">
        <v>16</v>
      </c>
      <c r="J23" s="100" t="s">
        <v>287</v>
      </c>
      <c r="K23" s="101"/>
      <c r="N23" s="110"/>
      <c r="O23" s="2" t="s">
        <v>16</v>
      </c>
      <c r="P23" s="100" t="s">
        <v>288</v>
      </c>
      <c r="Q23" s="101"/>
      <c r="T23" s="110"/>
      <c r="U23" s="2" t="s">
        <v>16</v>
      </c>
      <c r="V23" s="100" t="s">
        <v>289</v>
      </c>
      <c r="W23" s="101"/>
      <c r="Z23" s="110"/>
      <c r="AA23" s="2" t="s">
        <v>16</v>
      </c>
      <c r="AB23" s="100" t="s">
        <v>39</v>
      </c>
      <c r="AC23" s="101"/>
    </row>
    <row r="24" spans="2:36" ht="15.75" thickBot="1" x14ac:dyDescent="0.3">
      <c r="B24" s="111"/>
      <c r="C24" s="3" t="s">
        <v>17</v>
      </c>
      <c r="D24" s="102" t="s">
        <v>290</v>
      </c>
      <c r="E24" s="103"/>
      <c r="F24" s="9"/>
      <c r="H24" s="111"/>
      <c r="I24" s="3" t="s">
        <v>17</v>
      </c>
      <c r="J24" s="102" t="s">
        <v>291</v>
      </c>
      <c r="K24" s="103"/>
      <c r="N24" s="111"/>
      <c r="O24" s="3" t="s">
        <v>17</v>
      </c>
      <c r="P24" s="102" t="s">
        <v>292</v>
      </c>
      <c r="Q24" s="103"/>
      <c r="T24" s="111"/>
      <c r="U24" s="3" t="s">
        <v>17</v>
      </c>
      <c r="V24" s="102" t="s">
        <v>293</v>
      </c>
      <c r="W24" s="103"/>
      <c r="Z24" s="111"/>
      <c r="AA24" s="3" t="s">
        <v>17</v>
      </c>
      <c r="AB24" s="102" t="s">
        <v>40</v>
      </c>
      <c r="AC24" s="103"/>
    </row>
    <row r="25" spans="2:36" x14ac:dyDescent="0.25">
      <c r="B25" s="109" t="s">
        <v>30</v>
      </c>
      <c r="C25" s="6" t="s">
        <v>18</v>
      </c>
      <c r="D25" s="107" t="s">
        <v>294</v>
      </c>
      <c r="E25" s="108"/>
      <c r="F25" s="9"/>
      <c r="H25" s="109" t="s">
        <v>30</v>
      </c>
      <c r="I25" s="6" t="s">
        <v>18</v>
      </c>
      <c r="J25" s="107" t="s">
        <v>295</v>
      </c>
      <c r="K25" s="108"/>
      <c r="N25" s="109" t="s">
        <v>30</v>
      </c>
      <c r="O25" s="6" t="s">
        <v>18</v>
      </c>
      <c r="P25" s="107" t="s">
        <v>296</v>
      </c>
      <c r="Q25" s="108"/>
      <c r="T25" s="109" t="s">
        <v>30</v>
      </c>
      <c r="U25" s="6" t="s">
        <v>18</v>
      </c>
      <c r="V25" s="107"/>
      <c r="W25" s="108"/>
      <c r="Z25" s="109" t="s">
        <v>30</v>
      </c>
      <c r="AA25" s="6" t="s">
        <v>18</v>
      </c>
      <c r="AB25" s="107" t="s">
        <v>41</v>
      </c>
      <c r="AC25" s="108"/>
    </row>
    <row r="26" spans="2:36" x14ac:dyDescent="0.25">
      <c r="B26" s="110"/>
      <c r="C26" s="2" t="s">
        <v>15</v>
      </c>
      <c r="D26" s="100" t="s">
        <v>297</v>
      </c>
      <c r="E26" s="101"/>
      <c r="F26" s="9"/>
      <c r="H26" s="110"/>
      <c r="I26" s="2" t="s">
        <v>15</v>
      </c>
      <c r="J26" s="100" t="s">
        <v>298</v>
      </c>
      <c r="K26" s="101"/>
      <c r="N26" s="110"/>
      <c r="O26" s="2" t="s">
        <v>15</v>
      </c>
      <c r="P26" s="100" t="s">
        <v>299</v>
      </c>
      <c r="Q26" s="101"/>
      <c r="T26" s="110"/>
      <c r="U26" s="2" t="s">
        <v>15</v>
      </c>
      <c r="V26" s="100"/>
      <c r="W26" s="101"/>
      <c r="Z26" s="110"/>
      <c r="AA26" s="2" t="s">
        <v>15</v>
      </c>
      <c r="AB26" s="100" t="s">
        <v>38</v>
      </c>
      <c r="AC26" s="101"/>
    </row>
    <row r="27" spans="2:36" x14ac:dyDescent="0.25">
      <c r="B27" s="110"/>
      <c r="C27" s="2" t="s">
        <v>16</v>
      </c>
      <c r="D27" s="100" t="s">
        <v>300</v>
      </c>
      <c r="E27" s="101"/>
      <c r="F27" s="9"/>
      <c r="H27" s="110"/>
      <c r="I27" s="2" t="s">
        <v>16</v>
      </c>
      <c r="J27" s="100" t="s">
        <v>301</v>
      </c>
      <c r="K27" s="101"/>
      <c r="N27" s="110"/>
      <c r="O27" s="2" t="s">
        <v>16</v>
      </c>
      <c r="P27" s="100" t="s">
        <v>302</v>
      </c>
      <c r="Q27" s="101"/>
      <c r="T27" s="110"/>
      <c r="U27" s="2" t="s">
        <v>16</v>
      </c>
      <c r="V27" s="100"/>
      <c r="W27" s="101"/>
      <c r="Z27" s="110"/>
      <c r="AA27" s="2" t="s">
        <v>16</v>
      </c>
      <c r="AB27" s="100" t="s">
        <v>39</v>
      </c>
      <c r="AC27" s="101"/>
    </row>
    <row r="28" spans="2:36" x14ac:dyDescent="0.25">
      <c r="B28" s="110"/>
      <c r="C28" s="2" t="s">
        <v>19</v>
      </c>
      <c r="D28" s="100" t="s">
        <v>290</v>
      </c>
      <c r="E28" s="101"/>
      <c r="F28" s="9"/>
      <c r="H28" s="110"/>
      <c r="I28" s="2" t="s">
        <v>19</v>
      </c>
      <c r="J28" s="100"/>
      <c r="K28" s="101"/>
      <c r="N28" s="110"/>
      <c r="O28" s="2" t="s">
        <v>19</v>
      </c>
      <c r="P28" s="100" t="s">
        <v>303</v>
      </c>
      <c r="Q28" s="101"/>
      <c r="T28" s="110"/>
      <c r="U28" s="2" t="s">
        <v>19</v>
      </c>
      <c r="V28" s="100"/>
      <c r="W28" s="101"/>
      <c r="Z28" s="110"/>
      <c r="AA28" s="2" t="s">
        <v>19</v>
      </c>
      <c r="AB28" s="100" t="s">
        <v>42</v>
      </c>
      <c r="AC28" s="101"/>
    </row>
    <row r="29" spans="2:36" x14ac:dyDescent="0.25">
      <c r="B29" s="110"/>
      <c r="C29" s="2" t="s">
        <v>20</v>
      </c>
      <c r="D29" s="100">
        <v>20</v>
      </c>
      <c r="E29" s="101"/>
      <c r="F29" s="9"/>
      <c r="H29" s="110"/>
      <c r="I29" s="2" t="s">
        <v>20</v>
      </c>
      <c r="J29" s="100">
        <v>26</v>
      </c>
      <c r="K29" s="101"/>
      <c r="N29" s="110"/>
      <c r="O29" s="2" t="s">
        <v>20</v>
      </c>
      <c r="P29" s="100">
        <v>10</v>
      </c>
      <c r="Q29" s="101"/>
      <c r="T29" s="110"/>
      <c r="U29" s="2" t="s">
        <v>20</v>
      </c>
      <c r="V29" s="100"/>
      <c r="W29" s="101"/>
      <c r="Z29" s="110"/>
      <c r="AA29" s="2" t="s">
        <v>20</v>
      </c>
      <c r="AB29" s="100" t="s">
        <v>8</v>
      </c>
      <c r="AC29" s="101"/>
    </row>
    <row r="30" spans="2:36" ht="15.75" thickBot="1" x14ac:dyDescent="0.3">
      <c r="B30" s="111"/>
      <c r="C30" s="3" t="s">
        <v>21</v>
      </c>
      <c r="D30" s="102">
        <v>0</v>
      </c>
      <c r="E30" s="103"/>
      <c r="F30" s="9"/>
      <c r="H30" s="111"/>
      <c r="I30" s="3" t="s">
        <v>21</v>
      </c>
      <c r="J30" s="102">
        <v>5</v>
      </c>
      <c r="K30" s="103"/>
      <c r="N30" s="111"/>
      <c r="O30" s="3" t="s">
        <v>21</v>
      </c>
      <c r="P30" s="102">
        <v>2</v>
      </c>
      <c r="Q30" s="103"/>
      <c r="T30" s="111"/>
      <c r="U30" s="3" t="s">
        <v>21</v>
      </c>
      <c r="V30" s="102"/>
      <c r="W30" s="103"/>
      <c r="Z30" s="111"/>
      <c r="AA30" s="3" t="s">
        <v>21</v>
      </c>
      <c r="AB30" s="102" t="s">
        <v>8</v>
      </c>
      <c r="AC30" s="103"/>
    </row>
    <row r="31" spans="2:36" x14ac:dyDescent="0.25">
      <c r="B31" s="104" t="s">
        <v>32</v>
      </c>
      <c r="C31" s="6" t="s">
        <v>23</v>
      </c>
      <c r="D31" s="107"/>
      <c r="E31" s="108"/>
      <c r="F31" s="9"/>
      <c r="H31" s="104" t="s">
        <v>32</v>
      </c>
      <c r="I31" s="6" t="s">
        <v>23</v>
      </c>
      <c r="J31" s="107" t="s">
        <v>304</v>
      </c>
      <c r="K31" s="108"/>
      <c r="N31" s="104" t="s">
        <v>32</v>
      </c>
      <c r="O31" s="6" t="s">
        <v>23</v>
      </c>
      <c r="P31" s="107" t="s">
        <v>88</v>
      </c>
      <c r="Q31" s="108"/>
      <c r="T31" s="104" t="s">
        <v>32</v>
      </c>
      <c r="U31" s="6" t="s">
        <v>23</v>
      </c>
      <c r="V31" s="107"/>
      <c r="W31" s="108"/>
      <c r="Z31" s="104" t="s">
        <v>32</v>
      </c>
      <c r="AA31" s="6" t="s">
        <v>23</v>
      </c>
      <c r="AB31" s="107" t="s">
        <v>22</v>
      </c>
      <c r="AC31" s="108"/>
    </row>
    <row r="32" spans="2:36" x14ac:dyDescent="0.25">
      <c r="B32" s="105"/>
      <c r="C32" s="2" t="s">
        <v>24</v>
      </c>
      <c r="D32" s="112"/>
      <c r="E32" s="113"/>
      <c r="F32" s="9"/>
      <c r="H32" s="105"/>
      <c r="I32" s="2" t="s">
        <v>24</v>
      </c>
      <c r="J32" s="112" t="s">
        <v>305</v>
      </c>
      <c r="K32" s="113"/>
      <c r="N32" s="105"/>
      <c r="O32" s="2" t="s">
        <v>24</v>
      </c>
      <c r="P32" s="112" t="s">
        <v>88</v>
      </c>
      <c r="Q32" s="113"/>
      <c r="T32" s="105"/>
      <c r="U32" s="2" t="s">
        <v>24</v>
      </c>
      <c r="V32" s="112"/>
      <c r="W32" s="113"/>
      <c r="Z32" s="105"/>
      <c r="AA32" s="2" t="s">
        <v>24</v>
      </c>
      <c r="AB32" s="112" t="s">
        <v>22</v>
      </c>
      <c r="AC32" s="113"/>
    </row>
    <row r="33" spans="2:33" x14ac:dyDescent="0.25">
      <c r="B33" s="105"/>
      <c r="C33" s="2" t="s">
        <v>25</v>
      </c>
      <c r="D33" s="112"/>
      <c r="E33" s="113"/>
      <c r="F33" s="9"/>
      <c r="H33" s="105"/>
      <c r="I33" s="2" t="s">
        <v>25</v>
      </c>
      <c r="J33" s="112" t="s">
        <v>305</v>
      </c>
      <c r="K33" s="113"/>
      <c r="N33" s="105"/>
      <c r="O33" s="2" t="s">
        <v>25</v>
      </c>
      <c r="P33" s="112" t="s">
        <v>306</v>
      </c>
      <c r="Q33" s="113"/>
      <c r="T33" s="105"/>
      <c r="U33" s="2" t="s">
        <v>25</v>
      </c>
      <c r="V33" s="112"/>
      <c r="W33" s="113"/>
      <c r="Z33" s="105"/>
      <c r="AA33" s="2" t="s">
        <v>25</v>
      </c>
      <c r="AB33" s="112" t="s">
        <v>22</v>
      </c>
      <c r="AC33" s="113"/>
    </row>
    <row r="34" spans="2:33" ht="15.75" thickBot="1" x14ac:dyDescent="0.3">
      <c r="B34" s="105"/>
      <c r="C34" s="7" t="s">
        <v>26</v>
      </c>
      <c r="D34" s="114"/>
      <c r="E34" s="115"/>
      <c r="F34" s="9"/>
      <c r="H34" s="105"/>
      <c r="I34" s="7" t="s">
        <v>26</v>
      </c>
      <c r="J34" s="114" t="s">
        <v>162</v>
      </c>
      <c r="K34" s="115"/>
      <c r="N34" s="105"/>
      <c r="O34" s="7" t="s">
        <v>26</v>
      </c>
      <c r="P34" s="114" t="s">
        <v>307</v>
      </c>
      <c r="Q34" s="115"/>
      <c r="T34" s="105"/>
      <c r="U34" s="7" t="s">
        <v>26</v>
      </c>
      <c r="V34" s="114"/>
      <c r="W34" s="115"/>
      <c r="Z34" s="105"/>
      <c r="AA34" s="7" t="s">
        <v>26</v>
      </c>
      <c r="AB34" s="114" t="s">
        <v>22</v>
      </c>
      <c r="AC34" s="115"/>
    </row>
    <row r="35" spans="2:33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  <c r="AF35" s="21"/>
    </row>
    <row r="36" spans="2:33" x14ac:dyDescent="0.25">
      <c r="B36" s="110"/>
      <c r="C36" s="150" t="s">
        <v>308</v>
      </c>
      <c r="D36" s="120"/>
      <c r="E36" s="120"/>
      <c r="F36" s="121"/>
      <c r="H36" s="110"/>
      <c r="I36" s="150" t="s">
        <v>309</v>
      </c>
      <c r="J36" s="120"/>
      <c r="K36" s="120"/>
      <c r="L36" s="121"/>
      <c r="N36" s="110"/>
      <c r="O36" s="146" t="s">
        <v>310</v>
      </c>
      <c r="P36" s="120"/>
      <c r="Q36" s="120"/>
      <c r="R36" s="121"/>
      <c r="T36" s="110"/>
      <c r="U36" s="150" t="s">
        <v>311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  <c r="AF36" s="22"/>
    </row>
    <row r="37" spans="2:33" x14ac:dyDescent="0.25">
      <c r="B37" s="110"/>
      <c r="C37" s="122"/>
      <c r="D37" s="123"/>
      <c r="E37" s="123"/>
      <c r="F37" s="124"/>
      <c r="H37" s="110"/>
      <c r="I37" s="148" t="s">
        <v>312</v>
      </c>
      <c r="J37" s="123"/>
      <c r="K37" s="123"/>
      <c r="L37" s="124"/>
      <c r="N37" s="110"/>
      <c r="O37" s="149" t="s">
        <v>313</v>
      </c>
      <c r="P37" s="123"/>
      <c r="Q37" s="123"/>
      <c r="R37" s="124"/>
      <c r="T37" s="110"/>
      <c r="U37" s="149" t="s">
        <v>314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  <c r="AF37" s="22"/>
    </row>
    <row r="38" spans="2:33" x14ac:dyDescent="0.25">
      <c r="B38" s="110"/>
      <c r="C38" s="122"/>
      <c r="D38" s="123"/>
      <c r="E38" s="123"/>
      <c r="F38" s="124"/>
      <c r="H38" s="110"/>
      <c r="I38" s="122"/>
      <c r="J38" s="123"/>
      <c r="K38" s="123"/>
      <c r="L38" s="124"/>
      <c r="N38" s="110"/>
      <c r="O38" s="122"/>
      <c r="P38" s="123"/>
      <c r="Q38" s="123"/>
      <c r="R38" s="124"/>
      <c r="T38" s="110"/>
      <c r="U38" s="149" t="s">
        <v>315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  <c r="AF38" s="22"/>
    </row>
    <row r="39" spans="2:33" ht="15.75" thickBot="1" x14ac:dyDescent="0.3">
      <c r="B39" s="111"/>
      <c r="C39" s="125"/>
      <c r="D39" s="126"/>
      <c r="E39" s="126"/>
      <c r="F39" s="127"/>
      <c r="H39" s="111"/>
      <c r="I39" s="125"/>
      <c r="J39" s="126"/>
      <c r="K39" s="126"/>
      <c r="L39" s="127"/>
      <c r="N39" s="111"/>
      <c r="O39" s="125"/>
      <c r="P39" s="126"/>
      <c r="Q39" s="126"/>
      <c r="R39" s="127"/>
      <c r="T39" s="111"/>
      <c r="U39" s="125"/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  <c r="AF39" s="22"/>
    </row>
    <row r="40" spans="2:33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G40" s="18"/>
    </row>
    <row r="41" spans="2:33" s="9" customFormat="1" x14ac:dyDescent="0.25">
      <c r="B41" s="10"/>
      <c r="C41" s="13" t="s">
        <v>44</v>
      </c>
      <c r="D41" s="130" t="s">
        <v>316</v>
      </c>
      <c r="E41" s="131"/>
      <c r="F41" s="132"/>
      <c r="H41" s="10"/>
      <c r="I41" s="13" t="s">
        <v>44</v>
      </c>
      <c r="J41" s="130" t="s">
        <v>317</v>
      </c>
      <c r="K41" s="131"/>
      <c r="L41" s="132"/>
      <c r="N41" s="10"/>
      <c r="O41" s="13" t="s">
        <v>44</v>
      </c>
      <c r="P41" s="130" t="s">
        <v>317</v>
      </c>
      <c r="Q41" s="131"/>
      <c r="R41" s="132"/>
      <c r="T41" s="10"/>
      <c r="U41" s="13" t="s">
        <v>44</v>
      </c>
      <c r="V41" s="130" t="s">
        <v>317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23"/>
      <c r="AG41" s="18"/>
    </row>
    <row r="42" spans="2:33" s="9" customFormat="1" ht="15.75" thickBot="1" x14ac:dyDescent="0.3">
      <c r="B42" s="10"/>
      <c r="C42" s="14" t="s">
        <v>45</v>
      </c>
      <c r="D42" s="128" t="s">
        <v>318</v>
      </c>
      <c r="E42" s="128"/>
      <c r="F42" s="129"/>
      <c r="H42" s="10"/>
      <c r="I42" s="14" t="s">
        <v>45</v>
      </c>
      <c r="J42" s="128" t="s">
        <v>319</v>
      </c>
      <c r="K42" s="128"/>
      <c r="L42" s="129"/>
      <c r="N42" s="10"/>
      <c r="O42" s="14" t="s">
        <v>45</v>
      </c>
      <c r="P42" s="128" t="s">
        <v>318</v>
      </c>
      <c r="Q42" s="128"/>
      <c r="R42" s="129"/>
      <c r="T42" s="10"/>
      <c r="U42" s="14" t="s">
        <v>45</v>
      </c>
      <c r="V42" s="128" t="s">
        <v>318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23"/>
      <c r="AG42" s="18"/>
    </row>
    <row r="43" spans="2:33" s="9" customFormat="1" x14ac:dyDescent="0.25">
      <c r="B43" s="10"/>
      <c r="D43" s="11"/>
      <c r="AG43" s="18"/>
    </row>
    <row r="44" spans="2:33" s="9" customFormat="1" x14ac:dyDescent="0.25">
      <c r="B44" s="10"/>
      <c r="D44" s="11"/>
      <c r="AG44" s="18"/>
    </row>
    <row r="45" spans="2:33" s="9" customFormat="1" x14ac:dyDescent="0.25">
      <c r="B45" s="10"/>
      <c r="D45" s="11"/>
      <c r="AG45" s="18"/>
    </row>
    <row r="46" spans="2:33" s="9" customFormat="1" x14ac:dyDescent="0.25">
      <c r="B46" s="10"/>
      <c r="D46" s="11"/>
      <c r="AG46" s="18"/>
    </row>
    <row r="47" spans="2:33" s="9" customFormat="1" x14ac:dyDescent="0.25">
      <c r="B47" s="10"/>
      <c r="D47" s="11"/>
      <c r="AG47" s="18"/>
    </row>
    <row r="48" spans="2:33" s="9" customFormat="1" x14ac:dyDescent="0.25">
      <c r="B48" s="10"/>
      <c r="D48" s="11"/>
      <c r="AG48" s="18"/>
    </row>
    <row r="49" spans="2:33" s="9" customFormat="1" x14ac:dyDescent="0.25">
      <c r="B49" s="10"/>
      <c r="D49" s="11"/>
      <c r="AG49" s="18"/>
    </row>
    <row r="50" spans="2:33" s="9" customFormat="1" x14ac:dyDescent="0.25">
      <c r="B50" s="10"/>
      <c r="D50" s="11"/>
      <c r="AG50" s="18"/>
    </row>
    <row r="51" spans="2:33" s="9" customFormat="1" x14ac:dyDescent="0.25">
      <c r="B51" s="10"/>
      <c r="D51" s="11"/>
      <c r="AG51" s="18"/>
    </row>
    <row r="52" spans="2:33" s="9" customFormat="1" x14ac:dyDescent="0.25">
      <c r="B52" s="10"/>
      <c r="D52" s="11"/>
      <c r="AG52" s="18"/>
    </row>
    <row r="53" spans="2:33" s="9" customFormat="1" x14ac:dyDescent="0.25">
      <c r="B53" s="10"/>
      <c r="D53" s="11"/>
      <c r="AG53" s="18"/>
    </row>
    <row r="54" spans="2:33" s="9" customFormat="1" x14ac:dyDescent="0.25">
      <c r="B54" s="10"/>
      <c r="D54" s="11"/>
      <c r="AG54" s="18"/>
    </row>
    <row r="55" spans="2:33" s="9" customFormat="1" x14ac:dyDescent="0.25">
      <c r="B55" s="10"/>
      <c r="D55" s="11"/>
      <c r="AG55" s="18"/>
    </row>
    <row r="56" spans="2:33" s="9" customFormat="1" x14ac:dyDescent="0.25">
      <c r="B56" s="10"/>
      <c r="D56" s="11"/>
      <c r="AG56" s="18"/>
    </row>
    <row r="57" spans="2:33" s="9" customFormat="1" x14ac:dyDescent="0.25">
      <c r="B57" s="10"/>
      <c r="D57" s="11"/>
      <c r="AG57" s="18"/>
    </row>
    <row r="58" spans="2:33" s="9" customFormat="1" x14ac:dyDescent="0.25">
      <c r="B58" s="10"/>
      <c r="D58" s="11"/>
      <c r="AG58" s="18"/>
    </row>
    <row r="59" spans="2:33" s="9" customFormat="1" x14ac:dyDescent="0.25">
      <c r="B59" s="10"/>
      <c r="D59" s="11"/>
      <c r="AG59" s="18"/>
    </row>
    <row r="60" spans="2:33" s="9" customFormat="1" x14ac:dyDescent="0.25">
      <c r="B60" s="10"/>
      <c r="D60" s="11"/>
      <c r="AG60" s="18"/>
    </row>
    <row r="61" spans="2:33" s="9" customFormat="1" x14ac:dyDescent="0.25">
      <c r="B61" s="10"/>
      <c r="D61" s="11"/>
      <c r="AG61" s="18"/>
    </row>
    <row r="62" spans="2:33" s="9" customFormat="1" x14ac:dyDescent="0.25">
      <c r="B62" s="10"/>
      <c r="D62" s="11"/>
      <c r="AG62" s="18"/>
    </row>
    <row r="63" spans="2:33" s="9" customFormat="1" x14ac:dyDescent="0.25">
      <c r="B63" s="10"/>
      <c r="D63" s="11"/>
      <c r="AG63" s="18"/>
    </row>
    <row r="64" spans="2:33" s="9" customFormat="1" x14ac:dyDescent="0.25">
      <c r="B64" s="10"/>
      <c r="D64" s="11"/>
      <c r="AG64" s="18"/>
    </row>
    <row r="65" spans="2:33" s="9" customFormat="1" x14ac:dyDescent="0.25">
      <c r="B65" s="10"/>
      <c r="D65" s="11"/>
      <c r="AG65" s="18"/>
    </row>
    <row r="66" spans="2:33" s="9" customFormat="1" x14ac:dyDescent="0.25">
      <c r="B66" s="10"/>
      <c r="D66" s="11"/>
      <c r="AG66" s="18"/>
    </row>
    <row r="67" spans="2:33" s="9" customFormat="1" x14ac:dyDescent="0.25">
      <c r="B67" s="10"/>
      <c r="D67" s="11"/>
      <c r="AG67" s="18"/>
    </row>
    <row r="68" spans="2:33" s="9" customFormat="1" x14ac:dyDescent="0.25">
      <c r="B68" s="10"/>
      <c r="D68" s="11"/>
      <c r="AG68" s="18"/>
    </row>
    <row r="69" spans="2:33" s="9" customFormat="1" x14ac:dyDescent="0.25">
      <c r="B69" s="10"/>
      <c r="D69" s="11"/>
      <c r="AG69" s="18"/>
    </row>
    <row r="70" spans="2:33" s="9" customFormat="1" x14ac:dyDescent="0.25">
      <c r="B70" s="10"/>
      <c r="D70" s="11"/>
      <c r="AG70" s="18"/>
    </row>
    <row r="71" spans="2:33" s="9" customFormat="1" x14ac:dyDescent="0.25">
      <c r="B71" s="10"/>
      <c r="D71" s="11"/>
      <c r="AG71" s="18"/>
    </row>
    <row r="72" spans="2:33" s="9" customFormat="1" x14ac:dyDescent="0.25">
      <c r="B72" s="10"/>
      <c r="D72" s="11"/>
      <c r="AG72" s="18"/>
    </row>
    <row r="73" spans="2:33" s="9" customFormat="1" x14ac:dyDescent="0.25">
      <c r="B73" s="10"/>
      <c r="D73" s="11"/>
      <c r="AG73" s="18"/>
    </row>
    <row r="74" spans="2:33" s="9" customFormat="1" x14ac:dyDescent="0.25">
      <c r="B74" s="10"/>
      <c r="D74" s="11"/>
      <c r="AG74" s="18"/>
    </row>
    <row r="75" spans="2:33" s="9" customFormat="1" x14ac:dyDescent="0.25">
      <c r="B75" s="10"/>
      <c r="D75" s="11"/>
      <c r="AG75" s="18"/>
    </row>
    <row r="76" spans="2:33" s="9" customFormat="1" x14ac:dyDescent="0.25">
      <c r="B76" s="10"/>
      <c r="D76" s="11"/>
      <c r="AG76" s="18"/>
    </row>
    <row r="77" spans="2:33" s="9" customFormat="1" x14ac:dyDescent="0.25">
      <c r="B77" s="10"/>
      <c r="D77" s="11"/>
      <c r="AG77" s="18"/>
    </row>
    <row r="78" spans="2:33" s="9" customFormat="1" x14ac:dyDescent="0.25">
      <c r="B78" s="10"/>
      <c r="D78" s="11"/>
      <c r="AG78" s="18"/>
    </row>
    <row r="79" spans="2:33" s="9" customFormat="1" x14ac:dyDescent="0.25">
      <c r="B79" s="10"/>
      <c r="D79" s="11"/>
      <c r="AG79" s="18"/>
    </row>
    <row r="80" spans="2:33" s="9" customFormat="1" x14ac:dyDescent="0.25">
      <c r="B80" s="10"/>
      <c r="D80" s="11"/>
      <c r="AG80" s="18"/>
    </row>
    <row r="81" spans="2:33" s="9" customFormat="1" x14ac:dyDescent="0.25">
      <c r="B81" s="10"/>
      <c r="D81" s="11"/>
      <c r="AG81" s="18"/>
    </row>
    <row r="82" spans="2:33" s="9" customFormat="1" x14ac:dyDescent="0.25">
      <c r="B82" s="10"/>
      <c r="D82" s="11"/>
      <c r="AG82" s="18"/>
    </row>
    <row r="83" spans="2:33" s="9" customFormat="1" x14ac:dyDescent="0.25">
      <c r="B83" s="10"/>
      <c r="D83" s="11"/>
      <c r="AG83" s="18"/>
    </row>
    <row r="84" spans="2:33" s="9" customFormat="1" x14ac:dyDescent="0.25">
      <c r="B84" s="10"/>
      <c r="D84" s="11"/>
      <c r="AG84" s="18"/>
    </row>
    <row r="85" spans="2:33" s="9" customFormat="1" x14ac:dyDescent="0.25">
      <c r="B85" s="10"/>
      <c r="D85" s="11"/>
      <c r="AG85" s="18"/>
    </row>
    <row r="86" spans="2:33" s="9" customFormat="1" x14ac:dyDescent="0.25">
      <c r="B86" s="10"/>
      <c r="D86" s="11"/>
      <c r="AG86" s="18"/>
    </row>
    <row r="87" spans="2:33" s="9" customFormat="1" x14ac:dyDescent="0.25">
      <c r="B87" s="10"/>
      <c r="D87" s="11"/>
      <c r="AG87" s="18"/>
    </row>
    <row r="88" spans="2:33" s="9" customFormat="1" x14ac:dyDescent="0.25">
      <c r="B88" s="10"/>
      <c r="D88" s="11"/>
      <c r="AG88" s="18"/>
    </row>
    <row r="89" spans="2:33" s="9" customFormat="1" x14ac:dyDescent="0.25">
      <c r="B89" s="10"/>
      <c r="D89" s="11"/>
      <c r="AG89" s="18"/>
    </row>
    <row r="90" spans="2:33" s="9" customFormat="1" x14ac:dyDescent="0.25">
      <c r="B90" s="10"/>
      <c r="D90" s="11"/>
      <c r="AG90" s="18"/>
    </row>
    <row r="91" spans="2:33" s="9" customFormat="1" x14ac:dyDescent="0.25">
      <c r="B91" s="10"/>
      <c r="D91" s="11"/>
      <c r="AG91" s="18"/>
    </row>
    <row r="92" spans="2:33" s="9" customFormat="1" x14ac:dyDescent="0.25">
      <c r="B92" s="10"/>
      <c r="D92" s="11"/>
      <c r="AG92" s="18"/>
    </row>
    <row r="93" spans="2:33" s="9" customFormat="1" x14ac:dyDescent="0.25">
      <c r="B93" s="10"/>
      <c r="D93" s="11"/>
      <c r="AG93" s="18"/>
    </row>
    <row r="94" spans="2:33" s="9" customFormat="1" x14ac:dyDescent="0.25">
      <c r="B94" s="10"/>
      <c r="D94" s="11"/>
      <c r="AG94" s="18"/>
    </row>
    <row r="95" spans="2:33" s="9" customFormat="1" x14ac:dyDescent="0.25">
      <c r="B95" s="10"/>
      <c r="D95" s="11"/>
      <c r="AG95" s="18"/>
    </row>
    <row r="96" spans="2:33" s="9" customFormat="1" x14ac:dyDescent="0.25">
      <c r="B96" s="10"/>
      <c r="D96" s="11"/>
      <c r="AG96" s="18"/>
    </row>
    <row r="97" spans="2:33" s="9" customFormat="1" x14ac:dyDescent="0.25">
      <c r="B97" s="10"/>
      <c r="D97" s="11"/>
      <c r="AG97" s="18"/>
    </row>
    <row r="98" spans="2:33" s="9" customFormat="1" x14ac:dyDescent="0.25">
      <c r="B98" s="10"/>
      <c r="D98" s="11"/>
      <c r="AG98" s="18"/>
    </row>
    <row r="99" spans="2:33" s="9" customFormat="1" x14ac:dyDescent="0.25">
      <c r="B99" s="10"/>
      <c r="D99" s="11"/>
      <c r="AG99" s="18"/>
    </row>
    <row r="100" spans="2:33" s="9" customFormat="1" x14ac:dyDescent="0.25">
      <c r="B100" s="10"/>
      <c r="D100" s="11"/>
      <c r="AG100" s="18"/>
    </row>
    <row r="101" spans="2:33" s="9" customFormat="1" x14ac:dyDescent="0.25">
      <c r="B101" s="10"/>
      <c r="D101" s="11"/>
      <c r="AG101" s="18"/>
    </row>
    <row r="102" spans="2:33" s="9" customFormat="1" x14ac:dyDescent="0.25">
      <c r="B102" s="10"/>
      <c r="D102" s="11"/>
      <c r="AG102" s="18"/>
    </row>
    <row r="103" spans="2:33" s="9" customFormat="1" x14ac:dyDescent="0.25">
      <c r="B103" s="10"/>
      <c r="D103" s="11"/>
      <c r="AG103" s="18"/>
    </row>
    <row r="104" spans="2:33" s="9" customFormat="1" x14ac:dyDescent="0.25">
      <c r="B104" s="10"/>
      <c r="D104" s="11"/>
      <c r="AG104" s="18"/>
    </row>
    <row r="105" spans="2:33" s="9" customFormat="1" x14ac:dyDescent="0.25">
      <c r="B105" s="10"/>
      <c r="D105" s="11"/>
      <c r="AG105" s="18"/>
    </row>
    <row r="106" spans="2:33" s="9" customFormat="1" x14ac:dyDescent="0.25">
      <c r="B106" s="10"/>
      <c r="D106" s="11"/>
      <c r="AG106" s="18"/>
    </row>
    <row r="107" spans="2:33" s="9" customFormat="1" x14ac:dyDescent="0.25">
      <c r="B107" s="10"/>
      <c r="D107" s="11"/>
      <c r="AG107" s="18"/>
    </row>
    <row r="108" spans="2:33" s="9" customFormat="1" x14ac:dyDescent="0.25">
      <c r="B108" s="10"/>
      <c r="D108" s="11"/>
      <c r="AG108" s="18"/>
    </row>
    <row r="109" spans="2:33" s="9" customFormat="1" x14ac:dyDescent="0.25">
      <c r="B109" s="10"/>
      <c r="D109" s="11"/>
      <c r="AG109" s="18"/>
    </row>
    <row r="110" spans="2:33" s="9" customFormat="1" x14ac:dyDescent="0.25">
      <c r="B110" s="10"/>
      <c r="D110" s="11"/>
      <c r="AG110" s="18"/>
    </row>
    <row r="111" spans="2:33" s="9" customFormat="1" x14ac:dyDescent="0.25">
      <c r="B111" s="10"/>
      <c r="D111" s="11"/>
      <c r="AG111" s="18"/>
    </row>
    <row r="112" spans="2:33" s="9" customFormat="1" x14ac:dyDescent="0.25">
      <c r="B112" s="10"/>
      <c r="D112" s="11"/>
      <c r="AG112" s="18"/>
    </row>
    <row r="113" spans="2:33" s="9" customFormat="1" x14ac:dyDescent="0.25">
      <c r="B113" s="10"/>
      <c r="D113" s="11"/>
      <c r="AG113" s="18"/>
    </row>
    <row r="114" spans="2:33" s="9" customFormat="1" x14ac:dyDescent="0.25">
      <c r="B114" s="10"/>
      <c r="D114" s="11"/>
      <c r="AG114" s="18"/>
    </row>
    <row r="115" spans="2:33" s="9" customFormat="1" x14ac:dyDescent="0.25">
      <c r="B115" s="10"/>
      <c r="D115" s="11"/>
      <c r="AG115" s="18"/>
    </row>
    <row r="116" spans="2:33" s="9" customFormat="1" x14ac:dyDescent="0.25">
      <c r="B116" s="10"/>
      <c r="D116" s="11"/>
      <c r="AG116" s="18"/>
    </row>
    <row r="117" spans="2:33" s="9" customFormat="1" x14ac:dyDescent="0.25">
      <c r="B117" s="10"/>
      <c r="D117" s="11"/>
      <c r="AG117" s="18"/>
    </row>
    <row r="118" spans="2:33" s="9" customFormat="1" x14ac:dyDescent="0.25">
      <c r="B118" s="10"/>
      <c r="D118" s="11"/>
      <c r="AG118" s="18"/>
    </row>
    <row r="119" spans="2:33" s="9" customFormat="1" x14ac:dyDescent="0.25">
      <c r="B119" s="10"/>
      <c r="D119" s="11"/>
      <c r="AG119" s="18"/>
    </row>
    <row r="120" spans="2:33" s="9" customFormat="1" x14ac:dyDescent="0.25">
      <c r="B120" s="10"/>
      <c r="D120" s="11"/>
      <c r="AG120" s="18"/>
    </row>
    <row r="121" spans="2:33" s="9" customFormat="1" x14ac:dyDescent="0.25">
      <c r="B121" s="10"/>
      <c r="D121" s="11"/>
      <c r="AG121" s="18"/>
    </row>
    <row r="122" spans="2:33" s="9" customFormat="1" x14ac:dyDescent="0.25">
      <c r="B122" s="10"/>
      <c r="D122" s="11"/>
      <c r="AG122" s="18"/>
    </row>
    <row r="123" spans="2:33" s="9" customFormat="1" x14ac:dyDescent="0.25">
      <c r="B123" s="10"/>
      <c r="D123" s="11"/>
      <c r="AG123" s="18"/>
    </row>
    <row r="124" spans="2:33" s="9" customFormat="1" x14ac:dyDescent="0.25">
      <c r="B124" s="10"/>
      <c r="D124" s="11"/>
      <c r="AG124" s="18"/>
    </row>
    <row r="125" spans="2:33" s="9" customFormat="1" x14ac:dyDescent="0.25">
      <c r="B125" s="10"/>
      <c r="D125" s="11"/>
      <c r="AG125" s="18"/>
    </row>
    <row r="126" spans="2:33" s="9" customFormat="1" x14ac:dyDescent="0.25">
      <c r="B126" s="10"/>
      <c r="D126" s="11"/>
      <c r="AG126" s="18"/>
    </row>
    <row r="127" spans="2:33" s="9" customFormat="1" x14ac:dyDescent="0.25">
      <c r="B127" s="10"/>
      <c r="D127" s="11"/>
      <c r="AG127" s="18"/>
    </row>
    <row r="128" spans="2:33" s="9" customFormat="1" x14ac:dyDescent="0.25">
      <c r="B128" s="10"/>
      <c r="D128" s="11"/>
      <c r="AG128" s="18"/>
    </row>
    <row r="129" spans="2:33" s="9" customFormat="1" x14ac:dyDescent="0.25">
      <c r="B129" s="10"/>
      <c r="D129" s="11"/>
      <c r="AG129" s="18"/>
    </row>
    <row r="130" spans="2:33" s="9" customFormat="1" x14ac:dyDescent="0.25">
      <c r="B130" s="10"/>
      <c r="D130" s="11"/>
      <c r="AG130" s="18"/>
    </row>
    <row r="131" spans="2:33" s="9" customFormat="1" x14ac:dyDescent="0.25">
      <c r="B131" s="10"/>
      <c r="D131" s="11"/>
      <c r="AG131" s="18"/>
    </row>
    <row r="132" spans="2:33" s="9" customFormat="1" x14ac:dyDescent="0.25">
      <c r="B132" s="10"/>
      <c r="D132" s="11"/>
      <c r="AG132" s="18"/>
    </row>
    <row r="133" spans="2:33" s="9" customFormat="1" x14ac:dyDescent="0.25">
      <c r="B133" s="10"/>
      <c r="D133" s="11"/>
      <c r="AG133" s="18"/>
    </row>
    <row r="134" spans="2:33" s="9" customFormat="1" x14ac:dyDescent="0.25">
      <c r="B134" s="10"/>
      <c r="D134" s="11"/>
      <c r="AG134" s="18"/>
    </row>
    <row r="135" spans="2:33" s="9" customFormat="1" x14ac:dyDescent="0.25">
      <c r="B135" s="10"/>
      <c r="D135" s="11"/>
      <c r="AG135" s="18"/>
    </row>
    <row r="136" spans="2:33" s="9" customFormat="1" x14ac:dyDescent="0.25">
      <c r="B136" s="10"/>
      <c r="D136" s="11"/>
      <c r="AG136" s="18"/>
    </row>
    <row r="137" spans="2:33" s="9" customFormat="1" x14ac:dyDescent="0.25">
      <c r="B137" s="10"/>
      <c r="D137" s="11"/>
      <c r="AG137" s="18"/>
    </row>
    <row r="138" spans="2:33" s="9" customFormat="1" x14ac:dyDescent="0.25">
      <c r="B138" s="10"/>
      <c r="D138" s="11"/>
      <c r="AG138" s="18"/>
    </row>
    <row r="139" spans="2:33" s="9" customFormat="1" x14ac:dyDescent="0.25">
      <c r="B139" s="10"/>
      <c r="D139" s="11"/>
      <c r="AG139" s="18"/>
    </row>
    <row r="140" spans="2:33" s="9" customFormat="1" x14ac:dyDescent="0.25">
      <c r="B140" s="10"/>
      <c r="D140" s="11"/>
      <c r="AG140" s="18"/>
    </row>
    <row r="141" spans="2:33" s="9" customFormat="1" x14ac:dyDescent="0.25">
      <c r="B141" s="10"/>
      <c r="D141" s="11"/>
      <c r="AG141" s="18"/>
    </row>
    <row r="142" spans="2:33" s="9" customFormat="1" x14ac:dyDescent="0.25">
      <c r="B142" s="10"/>
      <c r="D142" s="11"/>
      <c r="AG142" s="18"/>
    </row>
    <row r="143" spans="2:33" s="9" customFormat="1" x14ac:dyDescent="0.25">
      <c r="B143" s="10"/>
      <c r="D143" s="11"/>
      <c r="AG143" s="18"/>
    </row>
    <row r="144" spans="2:33" s="9" customFormat="1" x14ac:dyDescent="0.25">
      <c r="B144" s="10"/>
      <c r="D144" s="11"/>
      <c r="AG144" s="18"/>
    </row>
    <row r="145" spans="2:33" s="9" customFormat="1" x14ac:dyDescent="0.25">
      <c r="B145" s="10"/>
      <c r="D145" s="11"/>
      <c r="AG145" s="18"/>
    </row>
    <row r="146" spans="2:33" s="9" customFormat="1" x14ac:dyDescent="0.25">
      <c r="B146" s="10"/>
      <c r="D146" s="11"/>
      <c r="AG146" s="18"/>
    </row>
    <row r="147" spans="2:33" s="9" customFormat="1" x14ac:dyDescent="0.25">
      <c r="B147" s="10"/>
      <c r="D147" s="11"/>
      <c r="AG147" s="18"/>
    </row>
    <row r="148" spans="2:33" s="9" customFormat="1" x14ac:dyDescent="0.25">
      <c r="B148" s="10"/>
      <c r="D148" s="11"/>
      <c r="AG148" s="18"/>
    </row>
    <row r="149" spans="2:33" s="9" customFormat="1" x14ac:dyDescent="0.25">
      <c r="B149" s="10"/>
      <c r="D149" s="11"/>
      <c r="AG149" s="18"/>
    </row>
    <row r="150" spans="2:33" s="9" customFormat="1" x14ac:dyDescent="0.25">
      <c r="B150" s="10"/>
      <c r="D150" s="11"/>
      <c r="AG150" s="18"/>
    </row>
    <row r="151" spans="2:33" s="9" customFormat="1" x14ac:dyDescent="0.25">
      <c r="B151" s="10"/>
      <c r="D151" s="11"/>
      <c r="AG151" s="18"/>
    </row>
    <row r="152" spans="2:33" s="9" customFormat="1" x14ac:dyDescent="0.25">
      <c r="B152" s="10"/>
      <c r="D152" s="11"/>
      <c r="AG152" s="18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I2:AJ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hyperlinks>
    <hyperlink ref="D20" r:id="rId1" xr:uid="{9A741EAB-E375-4E82-A95D-DB2749B9008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359D-011C-41F3-A212-EC9B355623E0}">
  <sheetPr>
    <tabColor theme="5"/>
  </sheetPr>
  <dimension ref="A1:BH152"/>
  <sheetViews>
    <sheetView zoomScale="115" zoomScaleNormal="115" workbookViewId="0">
      <selection activeCell="AM13" sqref="AM13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5.85546875" style="9" customWidth="1"/>
    <col min="15" max="15" width="21.85546875" style="9" customWidth="1"/>
    <col min="16" max="16" width="7.42578125" style="9" customWidth="1"/>
    <col min="17" max="18" width="11.42578125" style="9" customWidth="1"/>
    <col min="19" max="19" width="4" style="9" customWidth="1"/>
    <col min="20" max="20" width="0" style="9" hidden="1" customWidth="1"/>
    <col min="21" max="21" width="21.85546875" style="9" hidden="1" customWidth="1"/>
    <col min="22" max="22" width="7.42578125" style="9" hidden="1" customWidth="1"/>
    <col min="23" max="24" width="11.42578125" style="9" hidden="1" customWidth="1"/>
    <col min="25" max="25" width="4.5703125" style="9" hidden="1" customWidth="1"/>
    <col min="26" max="26" width="11.42578125" style="9" hidden="1" customWidth="1"/>
    <col min="27" max="27" width="21.85546875" style="9" hidden="1" customWidth="1"/>
    <col min="28" max="30" width="11.42578125" style="9" hidden="1" customWidth="1"/>
    <col min="31" max="31" width="3.42578125" style="9" customWidth="1"/>
    <col min="32" max="32" width="0.85546875" style="18" customWidth="1"/>
    <col min="33" max="33" width="7.42578125" style="9" customWidth="1"/>
    <col min="34" max="34" width="24" style="9" customWidth="1"/>
    <col min="35" max="35" width="11.42578125" style="60"/>
    <col min="36" max="60" width="11.42578125" style="9"/>
  </cols>
  <sheetData>
    <row r="1" spans="1:60" s="9" customFormat="1" x14ac:dyDescent="0.25">
      <c r="B1" s="10"/>
      <c r="D1" s="11"/>
      <c r="AF1" s="18"/>
      <c r="AI1" s="60"/>
    </row>
    <row r="2" spans="1:60" s="9" customFormat="1" ht="28.5" customHeight="1" thickBot="1" x14ac:dyDescent="0.3">
      <c r="B2" s="10"/>
      <c r="D2" s="11"/>
      <c r="AF2" s="18"/>
      <c r="AH2" s="86" t="s">
        <v>53</v>
      </c>
      <c r="AI2" s="86"/>
      <c r="AJ2" s="26"/>
      <c r="AK2" s="26"/>
      <c r="AL2" s="26"/>
    </row>
    <row r="3" spans="1:60" ht="22.5" customHeight="1" thickBot="1" x14ac:dyDescent="0.3">
      <c r="C3" s="87" t="s">
        <v>420</v>
      </c>
      <c r="D3" s="88"/>
      <c r="E3" s="88"/>
      <c r="F3" s="89"/>
      <c r="H3" s="8"/>
      <c r="I3" s="87" t="s">
        <v>421</v>
      </c>
      <c r="J3" s="88"/>
      <c r="K3" s="88"/>
      <c r="L3" s="89"/>
      <c r="N3" s="8"/>
      <c r="O3" s="87" t="s">
        <v>422</v>
      </c>
      <c r="P3" s="88"/>
      <c r="Q3" s="88"/>
      <c r="R3" s="89"/>
      <c r="T3" s="8"/>
      <c r="U3" s="87" t="s">
        <v>48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H3" s="24"/>
      <c r="AI3" s="26"/>
      <c r="AJ3" s="24"/>
      <c r="AK3" s="24"/>
      <c r="AL3" s="24"/>
    </row>
    <row r="4" spans="1:60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0</v>
      </c>
      <c r="E4" s="94"/>
      <c r="F4" s="95"/>
      <c r="G4" s="29"/>
      <c r="H4" s="91" t="s">
        <v>9</v>
      </c>
      <c r="I4" s="27" t="s">
        <v>1</v>
      </c>
      <c r="J4" s="12">
        <f>J6+J7+J8+J9+J10+J11</f>
        <v>0</v>
      </c>
      <c r="K4" s="94"/>
      <c r="L4" s="95"/>
      <c r="M4" s="29"/>
      <c r="N4" s="91" t="s">
        <v>9</v>
      </c>
      <c r="O4" s="27" t="s">
        <v>1</v>
      </c>
      <c r="P4" s="12">
        <v>218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1"/>
      <c r="AG4" s="29"/>
      <c r="AH4" s="28" t="s">
        <v>1</v>
      </c>
      <c r="AI4" s="25">
        <f>J4+P4+V4</f>
        <v>218</v>
      </c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</row>
    <row r="5" spans="1:60" ht="15.75" customHeight="1" x14ac:dyDescent="0.25">
      <c r="B5" s="92"/>
      <c r="C5" s="6" t="s">
        <v>0</v>
      </c>
      <c r="D5" s="16">
        <v>0</v>
      </c>
      <c r="E5" s="96"/>
      <c r="F5" s="97"/>
      <c r="H5" s="92"/>
      <c r="I5" s="6" t="s">
        <v>0</v>
      </c>
      <c r="J5" s="16">
        <v>0</v>
      </c>
      <c r="K5" s="96"/>
      <c r="L5" s="97"/>
      <c r="N5" s="92"/>
      <c r="O5" s="6" t="s">
        <v>0</v>
      </c>
      <c r="P5" s="16">
        <v>0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H5" s="6" t="s">
        <v>0</v>
      </c>
      <c r="AI5" s="16">
        <f>J5+P5+V5</f>
        <v>0</v>
      </c>
    </row>
    <row r="6" spans="1:60" ht="15.75" customHeight="1" x14ac:dyDescent="0.25">
      <c r="B6" s="92"/>
      <c r="C6" s="2" t="s">
        <v>2</v>
      </c>
      <c r="D6" s="4">
        <v>0</v>
      </c>
      <c r="E6" s="96"/>
      <c r="F6" s="97"/>
      <c r="H6" s="92"/>
      <c r="I6" s="2" t="s">
        <v>2</v>
      </c>
      <c r="J6" s="4">
        <v>0</v>
      </c>
      <c r="K6" s="96"/>
      <c r="L6" s="97"/>
      <c r="N6" s="92"/>
      <c r="O6" s="2" t="s">
        <v>2</v>
      </c>
      <c r="P6" s="4">
        <v>0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H6" s="2" t="s">
        <v>2</v>
      </c>
      <c r="AI6" s="4">
        <f t="shared" ref="AI6:AI15" si="0">+J6+P6+V6</f>
        <v>0</v>
      </c>
    </row>
    <row r="7" spans="1:60" x14ac:dyDescent="0.25">
      <c r="B7" s="92"/>
      <c r="C7" s="2" t="s">
        <v>3</v>
      </c>
      <c r="D7" s="4">
        <v>0</v>
      </c>
      <c r="E7" s="96"/>
      <c r="F7" s="97"/>
      <c r="H7" s="92"/>
      <c r="I7" s="2" t="s">
        <v>3</v>
      </c>
      <c r="J7" s="4">
        <v>0</v>
      </c>
      <c r="K7" s="96"/>
      <c r="L7" s="97"/>
      <c r="N7" s="92"/>
      <c r="O7" s="2" t="s">
        <v>3</v>
      </c>
      <c r="P7" s="4">
        <v>0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H7" s="2" t="s">
        <v>3</v>
      </c>
      <c r="AI7" s="4">
        <f t="shared" si="0"/>
        <v>0</v>
      </c>
    </row>
    <row r="8" spans="1:60" x14ac:dyDescent="0.25">
      <c r="B8" s="92"/>
      <c r="C8" s="2" t="s">
        <v>4</v>
      </c>
      <c r="D8" s="4">
        <v>0</v>
      </c>
      <c r="E8" s="96"/>
      <c r="F8" s="97"/>
      <c r="H8" s="92"/>
      <c r="I8" s="2" t="s">
        <v>4</v>
      </c>
      <c r="J8" s="4">
        <v>0</v>
      </c>
      <c r="K8" s="96"/>
      <c r="L8" s="97"/>
      <c r="N8" s="92"/>
      <c r="O8" s="2" t="s">
        <v>4</v>
      </c>
      <c r="P8" s="4">
        <v>0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H8" s="2" t="s">
        <v>4</v>
      </c>
      <c r="AI8" s="4">
        <f t="shared" si="0"/>
        <v>0</v>
      </c>
    </row>
    <row r="9" spans="1:60" x14ac:dyDescent="0.25">
      <c r="B9" s="92"/>
      <c r="C9" s="2" t="s">
        <v>5</v>
      </c>
      <c r="D9" s="4">
        <v>0</v>
      </c>
      <c r="E9" s="96"/>
      <c r="F9" s="97"/>
      <c r="H9" s="92"/>
      <c r="I9" s="2" t="s">
        <v>5</v>
      </c>
      <c r="J9" s="4">
        <v>0</v>
      </c>
      <c r="K9" s="96"/>
      <c r="L9" s="97"/>
      <c r="N9" s="92"/>
      <c r="O9" s="2" t="s">
        <v>5</v>
      </c>
      <c r="P9" s="4">
        <v>0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H9" s="2" t="s">
        <v>5</v>
      </c>
      <c r="AI9" s="4">
        <f t="shared" si="0"/>
        <v>0</v>
      </c>
    </row>
    <row r="10" spans="1:60" ht="15.75" thickBot="1" x14ac:dyDescent="0.3">
      <c r="B10" s="92"/>
      <c r="C10" s="7" t="s">
        <v>6</v>
      </c>
      <c r="D10" s="15">
        <v>0</v>
      </c>
      <c r="E10" s="96"/>
      <c r="F10" s="97"/>
      <c r="H10" s="92"/>
      <c r="I10" s="7" t="s">
        <v>6</v>
      </c>
      <c r="J10" s="15">
        <v>0</v>
      </c>
      <c r="K10" s="96"/>
      <c r="L10" s="97"/>
      <c r="N10" s="92"/>
      <c r="O10" s="7" t="s">
        <v>6</v>
      </c>
      <c r="P10" s="15">
        <v>0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H10" s="7" t="s">
        <v>6</v>
      </c>
      <c r="AI10" s="15">
        <f t="shared" si="0"/>
        <v>0</v>
      </c>
    </row>
    <row r="11" spans="1:60" ht="15.75" thickBot="1" x14ac:dyDescent="0.3">
      <c r="B11" s="92"/>
      <c r="C11" s="2" t="s">
        <v>7</v>
      </c>
      <c r="D11" s="4">
        <v>0</v>
      </c>
      <c r="E11" s="98" t="s">
        <v>33</v>
      </c>
      <c r="F11" s="99"/>
      <c r="H11" s="92"/>
      <c r="I11" s="2" t="s">
        <v>7</v>
      </c>
      <c r="J11" s="4">
        <v>0</v>
      </c>
      <c r="K11" s="98" t="s">
        <v>33</v>
      </c>
      <c r="L11" s="99"/>
      <c r="N11" s="92"/>
      <c r="O11" s="2" t="s">
        <v>7</v>
      </c>
      <c r="P11" s="4">
        <v>0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H11" s="2" t="s">
        <v>7</v>
      </c>
      <c r="AI11" s="4">
        <f t="shared" si="0"/>
        <v>0</v>
      </c>
    </row>
    <row r="12" spans="1:60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H12" s="2" t="s">
        <v>49</v>
      </c>
      <c r="AI12" s="4">
        <f t="shared" si="0"/>
        <v>0</v>
      </c>
    </row>
    <row r="13" spans="1:60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H13" s="2" t="s">
        <v>50</v>
      </c>
      <c r="AI13" s="4">
        <f t="shared" si="0"/>
        <v>0</v>
      </c>
    </row>
    <row r="14" spans="1:60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H14" s="2" t="s">
        <v>51</v>
      </c>
      <c r="AI14" s="4">
        <f t="shared" si="0"/>
        <v>0</v>
      </c>
    </row>
    <row r="15" spans="1:60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H15" s="3" t="s">
        <v>52</v>
      </c>
      <c r="AI15" s="5">
        <f t="shared" si="0"/>
        <v>0</v>
      </c>
    </row>
    <row r="16" spans="1:60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F16" s="18"/>
      <c r="AI16" s="60"/>
    </row>
    <row r="17" spans="2:35" x14ac:dyDescent="0.25">
      <c r="B17" s="104" t="s">
        <v>28</v>
      </c>
      <c r="C17" s="6" t="s">
        <v>10</v>
      </c>
      <c r="D17" s="107" t="s">
        <v>34</v>
      </c>
      <c r="E17" s="108"/>
      <c r="F17" s="9"/>
      <c r="H17" s="104" t="s">
        <v>28</v>
      </c>
      <c r="I17" s="6" t="s">
        <v>10</v>
      </c>
      <c r="J17" s="107" t="s">
        <v>34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34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5" ht="15.75" thickBot="1" x14ac:dyDescent="0.3">
      <c r="B18" s="105"/>
      <c r="C18" s="2" t="s">
        <v>11</v>
      </c>
      <c r="D18" s="100" t="s">
        <v>35</v>
      </c>
      <c r="E18" s="101"/>
      <c r="F18" s="9"/>
      <c r="H18" s="105"/>
      <c r="I18" s="2" t="s">
        <v>11</v>
      </c>
      <c r="J18" s="100" t="s">
        <v>35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35</v>
      </c>
      <c r="W18" s="101"/>
      <c r="Z18" s="105"/>
      <c r="AA18" s="2" t="s">
        <v>11</v>
      </c>
      <c r="AB18" s="100" t="s">
        <v>35</v>
      </c>
      <c r="AC18" s="101"/>
    </row>
    <row r="19" spans="2:35" ht="15.75" thickBot="1" x14ac:dyDescent="0.3">
      <c r="B19" s="105"/>
      <c r="C19" s="2" t="s">
        <v>12</v>
      </c>
      <c r="D19" s="100" t="s">
        <v>423</v>
      </c>
      <c r="E19" s="101"/>
      <c r="F19" s="9"/>
      <c r="H19" s="105"/>
      <c r="I19" s="2" t="s">
        <v>12</v>
      </c>
      <c r="J19" s="100" t="s">
        <v>423</v>
      </c>
      <c r="K19" s="101"/>
      <c r="N19" s="105"/>
      <c r="O19" s="2" t="s">
        <v>12</v>
      </c>
      <c r="P19" s="100" t="s">
        <v>424</v>
      </c>
      <c r="Q19" s="101"/>
      <c r="T19" s="105"/>
      <c r="U19" s="2" t="s">
        <v>12</v>
      </c>
      <c r="V19" s="100" t="s">
        <v>36</v>
      </c>
      <c r="W19" s="101"/>
      <c r="Z19" s="105"/>
      <c r="AA19" s="2" t="s">
        <v>12</v>
      </c>
      <c r="AB19" s="100" t="s">
        <v>36</v>
      </c>
      <c r="AC19" s="101"/>
      <c r="AH19" s="51" t="s">
        <v>54</v>
      </c>
      <c r="AI19" s="52">
        <f>+AI20+AI21</f>
        <v>3</v>
      </c>
    </row>
    <row r="20" spans="2:35" ht="15.75" thickBot="1" x14ac:dyDescent="0.3">
      <c r="B20" s="106"/>
      <c r="C20" s="3" t="s">
        <v>13</v>
      </c>
      <c r="D20" s="102" t="s">
        <v>425</v>
      </c>
      <c r="E20" s="103"/>
      <c r="F20" s="9"/>
      <c r="H20" s="106"/>
      <c r="I20" s="3" t="s">
        <v>13</v>
      </c>
      <c r="J20" s="102" t="s">
        <v>36</v>
      </c>
      <c r="K20" s="103"/>
      <c r="N20" s="106"/>
      <c r="O20" s="3" t="s">
        <v>13</v>
      </c>
      <c r="P20" s="102" t="s">
        <v>426</v>
      </c>
      <c r="Q20" s="103"/>
      <c r="T20" s="106"/>
      <c r="U20" s="3" t="s">
        <v>13</v>
      </c>
      <c r="V20" s="102" t="s">
        <v>36</v>
      </c>
      <c r="W20" s="103"/>
      <c r="Z20" s="106"/>
      <c r="AA20" s="3" t="s">
        <v>13</v>
      </c>
      <c r="AB20" s="102" t="s">
        <v>36</v>
      </c>
      <c r="AC20" s="103"/>
      <c r="AH20" s="49" t="s">
        <v>55</v>
      </c>
      <c r="AI20" s="61">
        <v>1</v>
      </c>
    </row>
    <row r="21" spans="2:35" ht="15.75" thickBot="1" x14ac:dyDescent="0.3">
      <c r="B21" s="109" t="s">
        <v>29</v>
      </c>
      <c r="C21" s="6" t="s">
        <v>14</v>
      </c>
      <c r="D21" s="107" t="s">
        <v>427</v>
      </c>
      <c r="E21" s="108"/>
      <c r="F21" s="9"/>
      <c r="H21" s="109" t="s">
        <v>29</v>
      </c>
      <c r="I21" s="6" t="s">
        <v>14</v>
      </c>
      <c r="J21" s="107" t="s">
        <v>428</v>
      </c>
      <c r="K21" s="108"/>
      <c r="N21" s="109" t="s">
        <v>29</v>
      </c>
      <c r="O21" s="6" t="s">
        <v>14</v>
      </c>
      <c r="P21" s="107" t="s">
        <v>429</v>
      </c>
      <c r="Q21" s="108"/>
      <c r="T21" s="109" t="s">
        <v>29</v>
      </c>
      <c r="U21" s="6" t="s">
        <v>14</v>
      </c>
      <c r="V21" s="107" t="s">
        <v>37</v>
      </c>
      <c r="W21" s="108"/>
      <c r="Z21" s="109" t="s">
        <v>29</v>
      </c>
      <c r="AA21" s="6" t="s">
        <v>14</v>
      </c>
      <c r="AB21" s="107" t="s">
        <v>37</v>
      </c>
      <c r="AC21" s="108"/>
      <c r="AH21" s="47" t="s">
        <v>56</v>
      </c>
      <c r="AI21" s="62">
        <v>2</v>
      </c>
    </row>
    <row r="22" spans="2:35" x14ac:dyDescent="0.25">
      <c r="B22" s="110"/>
      <c r="C22" s="2" t="s">
        <v>15</v>
      </c>
      <c r="D22" s="137">
        <v>16669861</v>
      </c>
      <c r="E22" s="101"/>
      <c r="F22" s="9"/>
      <c r="H22" s="110"/>
      <c r="I22" s="2" t="s">
        <v>15</v>
      </c>
      <c r="J22" s="100" t="s">
        <v>336</v>
      </c>
      <c r="K22" s="101"/>
      <c r="N22" s="110"/>
      <c r="O22" s="2" t="s">
        <v>15</v>
      </c>
      <c r="P22" s="137">
        <v>6221358</v>
      </c>
      <c r="Q22" s="101"/>
      <c r="T22" s="110"/>
      <c r="U22" s="2" t="s">
        <v>15</v>
      </c>
      <c r="V22" s="100" t="s">
        <v>38</v>
      </c>
      <c r="W22" s="101"/>
      <c r="Z22" s="110"/>
      <c r="AA22" s="2" t="s">
        <v>15</v>
      </c>
      <c r="AB22" s="100" t="s">
        <v>38</v>
      </c>
      <c r="AC22" s="101"/>
    </row>
    <row r="23" spans="2:35" x14ac:dyDescent="0.25">
      <c r="B23" s="110"/>
      <c r="C23" s="2" t="s">
        <v>16</v>
      </c>
      <c r="D23" s="100" t="s">
        <v>430</v>
      </c>
      <c r="E23" s="101"/>
      <c r="F23" s="9"/>
      <c r="H23" s="110"/>
      <c r="I23" s="2" t="s">
        <v>16</v>
      </c>
      <c r="J23" s="100" t="s">
        <v>336</v>
      </c>
      <c r="K23" s="101"/>
      <c r="N23" s="110"/>
      <c r="O23" s="2" t="s">
        <v>16</v>
      </c>
      <c r="P23" s="100">
        <v>4241510728</v>
      </c>
      <c r="Q23" s="101"/>
      <c r="T23" s="110"/>
      <c r="U23" s="2" t="s">
        <v>16</v>
      </c>
      <c r="V23" s="100" t="s">
        <v>39</v>
      </c>
      <c r="W23" s="101"/>
      <c r="Z23" s="110"/>
      <c r="AA23" s="2" t="s">
        <v>16</v>
      </c>
      <c r="AB23" s="100" t="s">
        <v>39</v>
      </c>
      <c r="AC23" s="101"/>
    </row>
    <row r="24" spans="2:35" ht="15.75" thickBot="1" x14ac:dyDescent="0.3">
      <c r="B24" s="111"/>
      <c r="C24" s="3" t="s">
        <v>17</v>
      </c>
      <c r="D24" s="102" t="s">
        <v>431</v>
      </c>
      <c r="E24" s="103"/>
      <c r="F24" s="9"/>
      <c r="H24" s="111"/>
      <c r="I24" s="3" t="s">
        <v>17</v>
      </c>
      <c r="J24" s="102" t="s">
        <v>432</v>
      </c>
      <c r="K24" s="103"/>
      <c r="N24" s="111"/>
      <c r="O24" s="3" t="s">
        <v>17</v>
      </c>
      <c r="P24" s="102" t="s">
        <v>433</v>
      </c>
      <c r="Q24" s="103"/>
      <c r="T24" s="111"/>
      <c r="U24" s="3" t="s">
        <v>17</v>
      </c>
      <c r="V24" s="102" t="s">
        <v>40</v>
      </c>
      <c r="W24" s="103"/>
      <c r="Z24" s="111"/>
      <c r="AA24" s="3" t="s">
        <v>17</v>
      </c>
      <c r="AB24" s="102" t="s">
        <v>40</v>
      </c>
      <c r="AC24" s="103"/>
    </row>
    <row r="25" spans="2:35" x14ac:dyDescent="0.25">
      <c r="B25" s="109" t="s">
        <v>30</v>
      </c>
      <c r="C25" s="6" t="s">
        <v>18</v>
      </c>
      <c r="D25" s="107" t="s">
        <v>434</v>
      </c>
      <c r="E25" s="108"/>
      <c r="F25" s="9"/>
      <c r="H25" s="109" t="s">
        <v>30</v>
      </c>
      <c r="I25" s="6" t="s">
        <v>18</v>
      </c>
      <c r="J25" s="107" t="s">
        <v>435</v>
      </c>
      <c r="K25" s="108"/>
      <c r="N25" s="109" t="s">
        <v>30</v>
      </c>
      <c r="O25" s="6" t="s">
        <v>18</v>
      </c>
      <c r="P25" s="107" t="s">
        <v>436</v>
      </c>
      <c r="Q25" s="108"/>
      <c r="T25" s="109" t="s">
        <v>30</v>
      </c>
      <c r="U25" s="6" t="s">
        <v>18</v>
      </c>
      <c r="V25" s="107" t="s">
        <v>41</v>
      </c>
      <c r="W25" s="108"/>
      <c r="Z25" s="109" t="s">
        <v>30</v>
      </c>
      <c r="AA25" s="6" t="s">
        <v>18</v>
      </c>
      <c r="AB25" s="107" t="s">
        <v>41</v>
      </c>
      <c r="AC25" s="108"/>
    </row>
    <row r="26" spans="2:35" x14ac:dyDescent="0.25">
      <c r="B26" s="110"/>
      <c r="C26" s="2" t="s">
        <v>15</v>
      </c>
      <c r="D26" s="137">
        <v>21550535</v>
      </c>
      <c r="E26" s="101"/>
      <c r="F26" s="9"/>
      <c r="H26" s="110"/>
      <c r="I26" s="2" t="s">
        <v>15</v>
      </c>
      <c r="J26" s="137">
        <v>30378501</v>
      </c>
      <c r="K26" s="101"/>
      <c r="N26" s="110"/>
      <c r="O26" s="2" t="s">
        <v>15</v>
      </c>
      <c r="P26" s="137">
        <v>21137333</v>
      </c>
      <c r="Q26" s="101"/>
      <c r="T26" s="110"/>
      <c r="U26" s="2" t="s">
        <v>15</v>
      </c>
      <c r="V26" s="100" t="s">
        <v>38</v>
      </c>
      <c r="W26" s="101"/>
      <c r="Z26" s="110"/>
      <c r="AA26" s="2" t="s">
        <v>15</v>
      </c>
      <c r="AB26" s="100" t="s">
        <v>38</v>
      </c>
      <c r="AC26" s="101"/>
    </row>
    <row r="27" spans="2:35" x14ac:dyDescent="0.25">
      <c r="B27" s="110"/>
      <c r="C27" s="2" t="s">
        <v>16</v>
      </c>
      <c r="D27" s="100">
        <v>4120778964</v>
      </c>
      <c r="E27" s="101"/>
      <c r="F27" s="9"/>
      <c r="H27" s="110"/>
      <c r="I27" s="2" t="s">
        <v>16</v>
      </c>
      <c r="J27" s="100" t="s">
        <v>437</v>
      </c>
      <c r="K27" s="101"/>
      <c r="N27" s="110"/>
      <c r="O27" s="2" t="s">
        <v>16</v>
      </c>
      <c r="P27" s="100">
        <v>4124039012</v>
      </c>
      <c r="Q27" s="101"/>
      <c r="T27" s="110"/>
      <c r="U27" s="2" t="s">
        <v>16</v>
      </c>
      <c r="V27" s="100" t="s">
        <v>39</v>
      </c>
      <c r="W27" s="101"/>
      <c r="Z27" s="110"/>
      <c r="AA27" s="2" t="s">
        <v>16</v>
      </c>
      <c r="AB27" s="100" t="s">
        <v>39</v>
      </c>
      <c r="AC27" s="101"/>
    </row>
    <row r="28" spans="2:35" x14ac:dyDescent="0.25">
      <c r="B28" s="110"/>
      <c r="C28" s="2" t="s">
        <v>19</v>
      </c>
      <c r="D28" s="151" t="s">
        <v>438</v>
      </c>
      <c r="E28" s="101"/>
      <c r="F28" s="9"/>
      <c r="H28" s="110"/>
      <c r="I28" s="2" t="s">
        <v>19</v>
      </c>
      <c r="J28" s="100" t="s">
        <v>439</v>
      </c>
      <c r="K28" s="101"/>
      <c r="N28" s="110"/>
      <c r="O28" s="2" t="s">
        <v>19</v>
      </c>
      <c r="P28" s="100" t="s">
        <v>440</v>
      </c>
      <c r="Q28" s="101"/>
      <c r="T28" s="110"/>
      <c r="U28" s="2" t="s">
        <v>19</v>
      </c>
      <c r="V28" s="100" t="s">
        <v>42</v>
      </c>
      <c r="W28" s="101"/>
      <c r="Z28" s="110"/>
      <c r="AA28" s="2" t="s">
        <v>19</v>
      </c>
      <c r="AB28" s="100" t="s">
        <v>42</v>
      </c>
      <c r="AC28" s="101"/>
    </row>
    <row r="29" spans="2:35" x14ac:dyDescent="0.25">
      <c r="B29" s="110"/>
      <c r="C29" s="2" t="s">
        <v>20</v>
      </c>
      <c r="D29" s="100">
        <v>18</v>
      </c>
      <c r="E29" s="101"/>
      <c r="F29" s="9"/>
      <c r="H29" s="110"/>
      <c r="I29" s="2" t="s">
        <v>20</v>
      </c>
      <c r="J29" s="100">
        <v>1</v>
      </c>
      <c r="K29" s="101"/>
      <c r="N29" s="110"/>
      <c r="O29" s="2" t="s">
        <v>20</v>
      </c>
      <c r="P29" s="100">
        <v>19</v>
      </c>
      <c r="Q29" s="101"/>
      <c r="T29" s="110"/>
      <c r="U29" s="2" t="s">
        <v>20</v>
      </c>
      <c r="V29" s="100" t="s">
        <v>8</v>
      </c>
      <c r="W29" s="101"/>
      <c r="Z29" s="110"/>
      <c r="AA29" s="2" t="s">
        <v>20</v>
      </c>
      <c r="AB29" s="100" t="s">
        <v>8</v>
      </c>
      <c r="AC29" s="101"/>
    </row>
    <row r="30" spans="2:35" ht="15.75" thickBot="1" x14ac:dyDescent="0.3">
      <c r="B30" s="111"/>
      <c r="C30" s="3" t="s">
        <v>21</v>
      </c>
      <c r="D30" s="102" t="s">
        <v>88</v>
      </c>
      <c r="E30" s="103"/>
      <c r="F30" s="9"/>
      <c r="H30" s="111"/>
      <c r="I30" s="3" t="s">
        <v>21</v>
      </c>
      <c r="J30" s="102" t="s">
        <v>88</v>
      </c>
      <c r="K30" s="103"/>
      <c r="N30" s="111"/>
      <c r="O30" s="3" t="s">
        <v>21</v>
      </c>
      <c r="P30" s="102" t="s">
        <v>88</v>
      </c>
      <c r="Q30" s="103"/>
      <c r="T30" s="111"/>
      <c r="U30" s="3" t="s">
        <v>21</v>
      </c>
      <c r="V30" s="102" t="s">
        <v>8</v>
      </c>
      <c r="W30" s="103"/>
      <c r="Z30" s="111"/>
      <c r="AA30" s="3" t="s">
        <v>21</v>
      </c>
      <c r="AB30" s="102" t="s">
        <v>8</v>
      </c>
      <c r="AC30" s="103"/>
    </row>
    <row r="31" spans="2:35" x14ac:dyDescent="0.25">
      <c r="B31" s="104" t="s">
        <v>32</v>
      </c>
      <c r="C31" s="6" t="s">
        <v>23</v>
      </c>
      <c r="D31" s="107" t="s">
        <v>87</v>
      </c>
      <c r="E31" s="108"/>
      <c r="F31" s="9"/>
      <c r="H31" s="104" t="s">
        <v>32</v>
      </c>
      <c r="I31" s="6" t="s">
        <v>23</v>
      </c>
      <c r="J31" s="107" t="s">
        <v>88</v>
      </c>
      <c r="K31" s="108"/>
      <c r="N31" s="104" t="s">
        <v>32</v>
      </c>
      <c r="O31" s="6" t="s">
        <v>23</v>
      </c>
      <c r="P31" s="107" t="s">
        <v>87</v>
      </c>
      <c r="Q31" s="108"/>
      <c r="T31" s="104" t="s">
        <v>32</v>
      </c>
      <c r="U31" s="6" t="s">
        <v>23</v>
      </c>
      <c r="V31" s="107" t="s">
        <v>22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5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88</v>
      </c>
      <c r="K32" s="113"/>
      <c r="N32" s="105"/>
      <c r="O32" s="2" t="s">
        <v>24</v>
      </c>
      <c r="P32" s="112" t="s">
        <v>88</v>
      </c>
      <c r="Q32" s="113"/>
      <c r="T32" s="105"/>
      <c r="U32" s="2" t="s">
        <v>24</v>
      </c>
      <c r="V32" s="112" t="s">
        <v>22</v>
      </c>
      <c r="W32" s="113"/>
      <c r="Z32" s="105"/>
      <c r="AA32" s="2" t="s">
        <v>24</v>
      </c>
      <c r="AB32" s="112" t="s">
        <v>22</v>
      </c>
      <c r="AC32" s="113"/>
    </row>
    <row r="33" spans="2:35" x14ac:dyDescent="0.25">
      <c r="B33" s="105"/>
      <c r="C33" s="2" t="s">
        <v>25</v>
      </c>
      <c r="D33" s="112" t="s">
        <v>88</v>
      </c>
      <c r="E33" s="113"/>
      <c r="F33" s="9"/>
      <c r="H33" s="105"/>
      <c r="I33" s="2" t="s">
        <v>25</v>
      </c>
      <c r="J33" s="112" t="s">
        <v>88</v>
      </c>
      <c r="K33" s="113"/>
      <c r="N33" s="105"/>
      <c r="O33" s="2" t="s">
        <v>25</v>
      </c>
      <c r="P33" s="112" t="s">
        <v>88</v>
      </c>
      <c r="Q33" s="113"/>
      <c r="T33" s="105"/>
      <c r="U33" s="2" t="s">
        <v>25</v>
      </c>
      <c r="V33" s="112" t="s">
        <v>22</v>
      </c>
      <c r="W33" s="113"/>
      <c r="Z33" s="105"/>
      <c r="AA33" s="2" t="s">
        <v>25</v>
      </c>
      <c r="AB33" s="112" t="s">
        <v>22</v>
      </c>
      <c r="AC33" s="113"/>
    </row>
    <row r="34" spans="2:35" ht="15.75" thickBot="1" x14ac:dyDescent="0.3">
      <c r="B34" s="105"/>
      <c r="C34" s="7" t="s">
        <v>26</v>
      </c>
      <c r="D34" s="114" t="s">
        <v>87</v>
      </c>
      <c r="E34" s="115"/>
      <c r="F34" s="9"/>
      <c r="H34" s="105"/>
      <c r="I34" s="7" t="s">
        <v>26</v>
      </c>
      <c r="J34" s="114" t="s">
        <v>88</v>
      </c>
      <c r="K34" s="115"/>
      <c r="N34" s="105"/>
      <c r="O34" s="7" t="s">
        <v>26</v>
      </c>
      <c r="P34" s="114" t="s">
        <v>88</v>
      </c>
      <c r="Q34" s="115"/>
      <c r="T34" s="105"/>
      <c r="U34" s="7" t="s">
        <v>26</v>
      </c>
      <c r="V34" s="114" t="s">
        <v>22</v>
      </c>
      <c r="W34" s="115"/>
      <c r="Z34" s="105"/>
      <c r="AA34" s="7" t="s">
        <v>26</v>
      </c>
      <c r="AB34" s="114" t="s">
        <v>22</v>
      </c>
      <c r="AC34" s="115"/>
    </row>
    <row r="35" spans="2:35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</row>
    <row r="36" spans="2:35" x14ac:dyDescent="0.25">
      <c r="B36" s="110"/>
      <c r="C36" s="119" t="s">
        <v>441</v>
      </c>
      <c r="D36" s="120"/>
      <c r="E36" s="120"/>
      <c r="F36" s="121"/>
      <c r="H36" s="110"/>
      <c r="I36" s="119" t="s">
        <v>442</v>
      </c>
      <c r="J36" s="120"/>
      <c r="K36" s="120"/>
      <c r="L36" s="121"/>
      <c r="N36" s="110"/>
      <c r="O36" s="119" t="s">
        <v>443</v>
      </c>
      <c r="P36" s="120"/>
      <c r="Q36" s="120"/>
      <c r="R36" s="121"/>
      <c r="T36" s="110"/>
      <c r="U36" s="119" t="s">
        <v>43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</row>
    <row r="37" spans="2:35" x14ac:dyDescent="0.25">
      <c r="B37" s="110"/>
      <c r="C37" s="122" t="s">
        <v>43</v>
      </c>
      <c r="D37" s="123"/>
      <c r="E37" s="123"/>
      <c r="F37" s="124"/>
      <c r="H37" s="110"/>
      <c r="I37" s="122" t="s">
        <v>43</v>
      </c>
      <c r="J37" s="123"/>
      <c r="K37" s="123"/>
      <c r="L37" s="124"/>
      <c r="N37" s="110"/>
      <c r="O37" s="122" t="s">
        <v>444</v>
      </c>
      <c r="P37" s="123"/>
      <c r="Q37" s="123"/>
      <c r="R37" s="124"/>
      <c r="T37" s="110"/>
      <c r="U37" s="122" t="s">
        <v>43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</row>
    <row r="38" spans="2:35" x14ac:dyDescent="0.25">
      <c r="B38" s="110"/>
      <c r="C38" s="122" t="s">
        <v>43</v>
      </c>
      <c r="D38" s="123"/>
      <c r="E38" s="123"/>
      <c r="F38" s="124"/>
      <c r="H38" s="110"/>
      <c r="I38" s="122" t="s">
        <v>43</v>
      </c>
      <c r="J38" s="123"/>
      <c r="K38" s="123"/>
      <c r="L38" s="124"/>
      <c r="N38" s="110"/>
      <c r="O38" s="122" t="s">
        <v>43</v>
      </c>
      <c r="P38" s="123"/>
      <c r="Q38" s="123"/>
      <c r="R38" s="124"/>
      <c r="T38" s="110"/>
      <c r="U38" s="122" t="s">
        <v>43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</row>
    <row r="39" spans="2:35" ht="15.75" thickBot="1" x14ac:dyDescent="0.3">
      <c r="B39" s="111"/>
      <c r="C39" s="125" t="s">
        <v>43</v>
      </c>
      <c r="D39" s="126"/>
      <c r="E39" s="126"/>
      <c r="F39" s="127"/>
      <c r="H39" s="111"/>
      <c r="I39" s="125" t="s">
        <v>43</v>
      </c>
      <c r="J39" s="126"/>
      <c r="K39" s="126"/>
      <c r="L39" s="127"/>
      <c r="N39" s="111"/>
      <c r="O39" s="125" t="s">
        <v>43</v>
      </c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</row>
    <row r="40" spans="2:35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F40" s="18"/>
      <c r="AI40" s="60"/>
    </row>
    <row r="41" spans="2:35" s="9" customFormat="1" x14ac:dyDescent="0.25">
      <c r="B41" s="10"/>
      <c r="C41" s="13" t="s">
        <v>44</v>
      </c>
      <c r="D41" s="130" t="s">
        <v>418</v>
      </c>
      <c r="E41" s="131"/>
      <c r="F41" s="132"/>
      <c r="H41" s="10"/>
      <c r="I41" s="13" t="s">
        <v>44</v>
      </c>
      <c r="J41" s="130" t="s">
        <v>418</v>
      </c>
      <c r="K41" s="131"/>
      <c r="L41" s="132"/>
      <c r="N41" s="10"/>
      <c r="O41" s="13" t="s">
        <v>44</v>
      </c>
      <c r="P41" s="130" t="s">
        <v>418</v>
      </c>
      <c r="Q41" s="131"/>
      <c r="R41" s="132"/>
      <c r="T41" s="10"/>
      <c r="U41" s="13" t="s">
        <v>44</v>
      </c>
      <c r="V41" s="130" t="s">
        <v>47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18"/>
      <c r="AI41" s="60"/>
    </row>
    <row r="42" spans="2:35" s="9" customFormat="1" ht="15.75" thickBot="1" x14ac:dyDescent="0.3">
      <c r="B42" s="10"/>
      <c r="C42" s="14" t="s">
        <v>45</v>
      </c>
      <c r="D42" s="128" t="s">
        <v>445</v>
      </c>
      <c r="E42" s="128"/>
      <c r="F42" s="129"/>
      <c r="H42" s="10"/>
      <c r="I42" s="14" t="s">
        <v>45</v>
      </c>
      <c r="J42" s="128" t="s">
        <v>445</v>
      </c>
      <c r="K42" s="128"/>
      <c r="L42" s="129"/>
      <c r="N42" s="10"/>
      <c r="O42" s="14" t="s">
        <v>45</v>
      </c>
      <c r="P42" s="128" t="s">
        <v>445</v>
      </c>
      <c r="Q42" s="128"/>
      <c r="R42" s="129"/>
      <c r="T42" s="10"/>
      <c r="U42" s="14" t="s">
        <v>45</v>
      </c>
      <c r="V42" s="128" t="s">
        <v>46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18"/>
      <c r="AI42" s="60"/>
    </row>
    <row r="43" spans="2:35" s="9" customFormat="1" x14ac:dyDescent="0.25">
      <c r="B43" s="10"/>
      <c r="D43" s="11"/>
      <c r="AF43" s="18"/>
      <c r="AI43" s="60"/>
    </row>
    <row r="44" spans="2:35" s="9" customFormat="1" x14ac:dyDescent="0.25">
      <c r="B44" s="10"/>
      <c r="D44" s="11"/>
      <c r="AF44" s="18"/>
      <c r="AI44" s="60"/>
    </row>
    <row r="45" spans="2:35" s="9" customFormat="1" x14ac:dyDescent="0.25">
      <c r="B45" s="10"/>
      <c r="D45" s="11"/>
      <c r="AF45" s="18"/>
      <c r="AI45" s="60"/>
    </row>
    <row r="46" spans="2:35" s="9" customFormat="1" x14ac:dyDescent="0.25">
      <c r="B46" s="10"/>
      <c r="D46" s="11"/>
      <c r="AF46" s="18"/>
      <c r="AI46" s="60"/>
    </row>
    <row r="47" spans="2:35" s="9" customFormat="1" x14ac:dyDescent="0.25">
      <c r="B47" s="10"/>
      <c r="D47" s="11"/>
      <c r="AF47" s="18"/>
      <c r="AI47" s="60"/>
    </row>
    <row r="48" spans="2:35" s="9" customFormat="1" x14ac:dyDescent="0.25">
      <c r="B48" s="10"/>
      <c r="D48" s="11"/>
      <c r="AF48" s="18"/>
      <c r="AI48" s="60"/>
    </row>
    <row r="49" spans="2:35" s="9" customFormat="1" x14ac:dyDescent="0.25">
      <c r="B49" s="10"/>
      <c r="D49" s="11"/>
      <c r="AF49" s="18"/>
      <c r="AI49" s="60"/>
    </row>
    <row r="50" spans="2:35" s="9" customFormat="1" x14ac:dyDescent="0.25">
      <c r="B50" s="10"/>
      <c r="D50" s="11"/>
      <c r="AF50" s="18"/>
      <c r="AI50" s="60"/>
    </row>
    <row r="51" spans="2:35" s="9" customFormat="1" x14ac:dyDescent="0.25">
      <c r="B51" s="10"/>
      <c r="D51" s="11"/>
      <c r="AF51" s="18"/>
      <c r="AI51" s="60"/>
    </row>
    <row r="52" spans="2:35" s="9" customFormat="1" x14ac:dyDescent="0.25">
      <c r="B52" s="10"/>
      <c r="D52" s="11"/>
      <c r="AF52" s="18"/>
      <c r="AI52" s="60"/>
    </row>
    <row r="53" spans="2:35" s="9" customFormat="1" x14ac:dyDescent="0.25">
      <c r="B53" s="10"/>
      <c r="D53" s="11"/>
      <c r="AF53" s="18"/>
      <c r="AI53" s="60"/>
    </row>
    <row r="54" spans="2:35" s="9" customFormat="1" x14ac:dyDescent="0.25">
      <c r="B54" s="10"/>
      <c r="D54" s="11"/>
      <c r="AF54" s="18"/>
      <c r="AI54" s="60"/>
    </row>
    <row r="55" spans="2:35" s="9" customFormat="1" x14ac:dyDescent="0.25">
      <c r="B55" s="10"/>
      <c r="D55" s="11"/>
      <c r="AF55" s="18"/>
      <c r="AI55" s="60"/>
    </row>
    <row r="56" spans="2:35" s="9" customFormat="1" x14ac:dyDescent="0.25">
      <c r="B56" s="10"/>
      <c r="D56" s="11"/>
      <c r="AF56" s="18"/>
      <c r="AI56" s="60"/>
    </row>
    <row r="57" spans="2:35" s="9" customFormat="1" x14ac:dyDescent="0.25">
      <c r="B57" s="10"/>
      <c r="D57" s="11"/>
      <c r="AF57" s="18"/>
      <c r="AI57" s="60"/>
    </row>
    <row r="58" spans="2:35" s="9" customFormat="1" x14ac:dyDescent="0.25">
      <c r="B58" s="10"/>
      <c r="D58" s="11"/>
      <c r="AF58" s="18"/>
      <c r="AI58" s="60"/>
    </row>
    <row r="59" spans="2:35" s="9" customFormat="1" x14ac:dyDescent="0.25">
      <c r="B59" s="10"/>
      <c r="D59" s="11"/>
      <c r="AF59" s="18"/>
      <c r="AI59" s="60"/>
    </row>
    <row r="60" spans="2:35" s="9" customFormat="1" x14ac:dyDescent="0.25">
      <c r="B60" s="10"/>
      <c r="D60" s="11"/>
      <c r="AF60" s="18"/>
      <c r="AI60" s="60"/>
    </row>
    <row r="61" spans="2:35" s="9" customFormat="1" x14ac:dyDescent="0.25">
      <c r="B61" s="10"/>
      <c r="D61" s="11"/>
      <c r="AF61" s="18"/>
      <c r="AI61" s="60"/>
    </row>
    <row r="62" spans="2:35" s="9" customFormat="1" x14ac:dyDescent="0.25">
      <c r="B62" s="10"/>
      <c r="D62" s="11"/>
      <c r="AF62" s="18"/>
      <c r="AI62" s="60"/>
    </row>
    <row r="63" spans="2:35" s="9" customFormat="1" x14ac:dyDescent="0.25">
      <c r="B63" s="10"/>
      <c r="D63" s="11"/>
      <c r="AF63" s="18"/>
      <c r="AI63" s="60"/>
    </row>
    <row r="64" spans="2:35" s="9" customFormat="1" x14ac:dyDescent="0.25">
      <c r="B64" s="10"/>
      <c r="D64" s="11"/>
      <c r="AF64" s="18"/>
      <c r="AI64" s="60"/>
    </row>
    <row r="65" spans="2:35" s="9" customFormat="1" x14ac:dyDescent="0.25">
      <c r="B65" s="10"/>
      <c r="D65" s="11"/>
      <c r="AF65" s="18"/>
      <c r="AI65" s="60"/>
    </row>
    <row r="66" spans="2:35" s="9" customFormat="1" x14ac:dyDescent="0.25">
      <c r="B66" s="10"/>
      <c r="D66" s="11"/>
      <c r="AF66" s="18"/>
      <c r="AI66" s="60"/>
    </row>
    <row r="67" spans="2:35" s="9" customFormat="1" x14ac:dyDescent="0.25">
      <c r="B67" s="10"/>
      <c r="D67" s="11"/>
      <c r="AF67" s="18"/>
      <c r="AI67" s="60"/>
    </row>
    <row r="68" spans="2:35" s="9" customFormat="1" x14ac:dyDescent="0.25">
      <c r="B68" s="10"/>
      <c r="D68" s="11"/>
      <c r="AF68" s="18"/>
      <c r="AI68" s="60"/>
    </row>
    <row r="69" spans="2:35" s="9" customFormat="1" x14ac:dyDescent="0.25">
      <c r="B69" s="10"/>
      <c r="D69" s="11"/>
      <c r="AF69" s="18"/>
      <c r="AI69" s="60"/>
    </row>
    <row r="70" spans="2:35" s="9" customFormat="1" x14ac:dyDescent="0.25">
      <c r="B70" s="10"/>
      <c r="D70" s="11"/>
      <c r="AF70" s="18"/>
      <c r="AI70" s="60"/>
    </row>
    <row r="71" spans="2:35" s="9" customFormat="1" x14ac:dyDescent="0.25">
      <c r="B71" s="10"/>
      <c r="D71" s="11"/>
      <c r="AF71" s="18"/>
      <c r="AI71" s="60"/>
    </row>
    <row r="72" spans="2:35" s="9" customFormat="1" x14ac:dyDescent="0.25">
      <c r="B72" s="10"/>
      <c r="D72" s="11"/>
      <c r="AF72" s="18"/>
      <c r="AI72" s="60"/>
    </row>
    <row r="73" spans="2:35" s="9" customFormat="1" x14ac:dyDescent="0.25">
      <c r="B73" s="10"/>
      <c r="D73" s="11"/>
      <c r="AF73" s="18"/>
      <c r="AI73" s="60"/>
    </row>
    <row r="74" spans="2:35" s="9" customFormat="1" x14ac:dyDescent="0.25">
      <c r="B74" s="10"/>
      <c r="D74" s="11"/>
      <c r="AF74" s="18"/>
      <c r="AI74" s="60"/>
    </row>
    <row r="75" spans="2:35" s="9" customFormat="1" x14ac:dyDescent="0.25">
      <c r="B75" s="10"/>
      <c r="D75" s="11"/>
      <c r="AF75" s="18"/>
      <c r="AI75" s="60"/>
    </row>
    <row r="76" spans="2:35" s="9" customFormat="1" x14ac:dyDescent="0.25">
      <c r="B76" s="10"/>
      <c r="D76" s="11"/>
      <c r="AF76" s="18"/>
      <c r="AI76" s="60"/>
    </row>
    <row r="77" spans="2:35" s="9" customFormat="1" x14ac:dyDescent="0.25">
      <c r="B77" s="10"/>
      <c r="D77" s="11"/>
      <c r="AF77" s="18"/>
      <c r="AI77" s="60"/>
    </row>
    <row r="78" spans="2:35" s="9" customFormat="1" x14ac:dyDescent="0.25">
      <c r="B78" s="10"/>
      <c r="D78" s="11"/>
      <c r="AF78" s="18"/>
      <c r="AI78" s="60"/>
    </row>
    <row r="79" spans="2:35" s="9" customFormat="1" x14ac:dyDescent="0.25">
      <c r="B79" s="10"/>
      <c r="D79" s="11"/>
      <c r="AF79" s="18"/>
      <c r="AI79" s="60"/>
    </row>
    <row r="80" spans="2:35" s="9" customFormat="1" x14ac:dyDescent="0.25">
      <c r="B80" s="10"/>
      <c r="D80" s="11"/>
      <c r="AF80" s="18"/>
      <c r="AI80" s="60"/>
    </row>
    <row r="81" spans="2:35" s="9" customFormat="1" x14ac:dyDescent="0.25">
      <c r="B81" s="10"/>
      <c r="D81" s="11"/>
      <c r="AF81" s="18"/>
      <c r="AI81" s="60"/>
    </row>
    <row r="82" spans="2:35" s="9" customFormat="1" x14ac:dyDescent="0.25">
      <c r="B82" s="10"/>
      <c r="D82" s="11"/>
      <c r="AF82" s="18"/>
      <c r="AI82" s="60"/>
    </row>
    <row r="83" spans="2:35" s="9" customFormat="1" x14ac:dyDescent="0.25">
      <c r="B83" s="10"/>
      <c r="D83" s="11"/>
      <c r="AF83" s="18"/>
      <c r="AI83" s="60"/>
    </row>
    <row r="84" spans="2:35" s="9" customFormat="1" x14ac:dyDescent="0.25">
      <c r="B84" s="10"/>
      <c r="D84" s="11"/>
      <c r="AF84" s="18"/>
      <c r="AI84" s="60"/>
    </row>
    <row r="85" spans="2:35" s="9" customFormat="1" x14ac:dyDescent="0.25">
      <c r="B85" s="10"/>
      <c r="D85" s="11"/>
      <c r="AF85" s="18"/>
      <c r="AI85" s="60"/>
    </row>
    <row r="86" spans="2:35" s="9" customFormat="1" x14ac:dyDescent="0.25">
      <c r="B86" s="10"/>
      <c r="D86" s="11"/>
      <c r="AF86" s="18"/>
      <c r="AI86" s="60"/>
    </row>
    <row r="87" spans="2:35" s="9" customFormat="1" x14ac:dyDescent="0.25">
      <c r="B87" s="10"/>
      <c r="D87" s="11"/>
      <c r="AF87" s="18"/>
      <c r="AI87" s="60"/>
    </row>
    <row r="88" spans="2:35" s="9" customFormat="1" x14ac:dyDescent="0.25">
      <c r="B88" s="10"/>
      <c r="D88" s="11"/>
      <c r="AF88" s="18"/>
      <c r="AI88" s="60"/>
    </row>
    <row r="89" spans="2:35" s="9" customFormat="1" x14ac:dyDescent="0.25">
      <c r="B89" s="10"/>
      <c r="D89" s="11"/>
      <c r="AF89" s="18"/>
      <c r="AI89" s="60"/>
    </row>
    <row r="90" spans="2:35" s="9" customFormat="1" x14ac:dyDescent="0.25">
      <c r="B90" s="10"/>
      <c r="D90" s="11"/>
      <c r="AF90" s="18"/>
      <c r="AI90" s="60"/>
    </row>
    <row r="91" spans="2:35" s="9" customFormat="1" x14ac:dyDescent="0.25">
      <c r="B91" s="10"/>
      <c r="D91" s="11"/>
      <c r="AF91" s="18"/>
      <c r="AI91" s="60"/>
    </row>
    <row r="92" spans="2:35" s="9" customFormat="1" x14ac:dyDescent="0.25">
      <c r="B92" s="10"/>
      <c r="D92" s="11"/>
      <c r="AF92" s="18"/>
      <c r="AI92" s="60"/>
    </row>
    <row r="93" spans="2:35" s="9" customFormat="1" x14ac:dyDescent="0.25">
      <c r="B93" s="10"/>
      <c r="D93" s="11"/>
      <c r="AF93" s="18"/>
      <c r="AI93" s="60"/>
    </row>
    <row r="94" spans="2:35" s="9" customFormat="1" x14ac:dyDescent="0.25">
      <c r="B94" s="10"/>
      <c r="D94" s="11"/>
      <c r="AF94" s="18"/>
      <c r="AI94" s="60"/>
    </row>
    <row r="95" spans="2:35" s="9" customFormat="1" x14ac:dyDescent="0.25">
      <c r="B95" s="10"/>
      <c r="D95" s="11"/>
      <c r="AF95" s="18"/>
      <c r="AI95" s="60"/>
    </row>
    <row r="96" spans="2:35" s="9" customFormat="1" x14ac:dyDescent="0.25">
      <c r="B96" s="10"/>
      <c r="D96" s="11"/>
      <c r="AF96" s="18"/>
      <c r="AI96" s="60"/>
    </row>
    <row r="97" spans="2:35" s="9" customFormat="1" x14ac:dyDescent="0.25">
      <c r="B97" s="10"/>
      <c r="D97" s="11"/>
      <c r="AF97" s="18"/>
      <c r="AI97" s="60"/>
    </row>
    <row r="98" spans="2:35" s="9" customFormat="1" x14ac:dyDescent="0.25">
      <c r="B98" s="10"/>
      <c r="D98" s="11"/>
      <c r="AF98" s="18"/>
      <c r="AI98" s="60"/>
    </row>
    <row r="99" spans="2:35" s="9" customFormat="1" x14ac:dyDescent="0.25">
      <c r="B99" s="10"/>
      <c r="D99" s="11"/>
      <c r="AF99" s="18"/>
      <c r="AI99" s="60"/>
    </row>
    <row r="100" spans="2:35" s="9" customFormat="1" x14ac:dyDescent="0.25">
      <c r="B100" s="10"/>
      <c r="D100" s="11"/>
      <c r="AF100" s="18"/>
      <c r="AI100" s="60"/>
    </row>
    <row r="101" spans="2:35" s="9" customFormat="1" x14ac:dyDescent="0.25">
      <c r="B101" s="10"/>
      <c r="D101" s="11"/>
      <c r="AF101" s="18"/>
      <c r="AI101" s="60"/>
    </row>
    <row r="102" spans="2:35" s="9" customFormat="1" x14ac:dyDescent="0.25">
      <c r="B102" s="10"/>
      <c r="D102" s="11"/>
      <c r="AF102" s="18"/>
      <c r="AI102" s="60"/>
    </row>
    <row r="103" spans="2:35" s="9" customFormat="1" x14ac:dyDescent="0.25">
      <c r="B103" s="10"/>
      <c r="D103" s="11"/>
      <c r="AF103" s="18"/>
      <c r="AI103" s="60"/>
    </row>
    <row r="104" spans="2:35" s="9" customFormat="1" x14ac:dyDescent="0.25">
      <c r="B104" s="10"/>
      <c r="D104" s="11"/>
      <c r="AF104" s="18"/>
      <c r="AI104" s="60"/>
    </row>
    <row r="105" spans="2:35" s="9" customFormat="1" x14ac:dyDescent="0.25">
      <c r="B105" s="10"/>
      <c r="D105" s="11"/>
      <c r="AF105" s="18"/>
      <c r="AI105" s="60"/>
    </row>
    <row r="106" spans="2:35" s="9" customFormat="1" x14ac:dyDescent="0.25">
      <c r="B106" s="10"/>
      <c r="D106" s="11"/>
      <c r="AF106" s="18"/>
      <c r="AI106" s="60"/>
    </row>
    <row r="107" spans="2:35" s="9" customFormat="1" x14ac:dyDescent="0.25">
      <c r="B107" s="10"/>
      <c r="D107" s="11"/>
      <c r="AF107" s="18"/>
      <c r="AI107" s="60"/>
    </row>
    <row r="108" spans="2:35" s="9" customFormat="1" x14ac:dyDescent="0.25">
      <c r="B108" s="10"/>
      <c r="D108" s="11"/>
      <c r="AF108" s="18"/>
      <c r="AI108" s="60"/>
    </row>
    <row r="109" spans="2:35" s="9" customFormat="1" x14ac:dyDescent="0.25">
      <c r="B109" s="10"/>
      <c r="D109" s="11"/>
      <c r="AF109" s="18"/>
      <c r="AI109" s="60"/>
    </row>
    <row r="110" spans="2:35" s="9" customFormat="1" x14ac:dyDescent="0.25">
      <c r="B110" s="10"/>
      <c r="D110" s="11"/>
      <c r="AF110" s="18"/>
      <c r="AI110" s="60"/>
    </row>
    <row r="111" spans="2:35" s="9" customFormat="1" x14ac:dyDescent="0.25">
      <c r="B111" s="10"/>
      <c r="D111" s="11"/>
      <c r="AF111" s="18"/>
      <c r="AI111" s="60"/>
    </row>
    <row r="112" spans="2:35" s="9" customFormat="1" x14ac:dyDescent="0.25">
      <c r="B112" s="10"/>
      <c r="D112" s="11"/>
      <c r="AF112" s="18"/>
      <c r="AI112" s="60"/>
    </row>
    <row r="113" spans="2:35" s="9" customFormat="1" x14ac:dyDescent="0.25">
      <c r="B113" s="10"/>
      <c r="D113" s="11"/>
      <c r="AF113" s="18"/>
      <c r="AI113" s="60"/>
    </row>
    <row r="114" spans="2:35" s="9" customFormat="1" x14ac:dyDescent="0.25">
      <c r="B114" s="10"/>
      <c r="D114" s="11"/>
      <c r="AF114" s="18"/>
      <c r="AI114" s="60"/>
    </row>
    <row r="115" spans="2:35" s="9" customFormat="1" x14ac:dyDescent="0.25">
      <c r="B115" s="10"/>
      <c r="D115" s="11"/>
      <c r="AF115" s="18"/>
      <c r="AI115" s="60"/>
    </row>
    <row r="116" spans="2:35" s="9" customFormat="1" x14ac:dyDescent="0.25">
      <c r="B116" s="10"/>
      <c r="D116" s="11"/>
      <c r="AF116" s="18"/>
      <c r="AI116" s="60"/>
    </row>
    <row r="117" spans="2:35" s="9" customFormat="1" x14ac:dyDescent="0.25">
      <c r="B117" s="10"/>
      <c r="D117" s="11"/>
      <c r="AF117" s="18"/>
      <c r="AI117" s="60"/>
    </row>
    <row r="118" spans="2:35" s="9" customFormat="1" x14ac:dyDescent="0.25">
      <c r="B118" s="10"/>
      <c r="D118" s="11"/>
      <c r="AF118" s="18"/>
      <c r="AI118" s="60"/>
    </row>
    <row r="119" spans="2:35" s="9" customFormat="1" x14ac:dyDescent="0.25">
      <c r="B119" s="10"/>
      <c r="D119" s="11"/>
      <c r="AF119" s="18"/>
      <c r="AI119" s="60"/>
    </row>
    <row r="120" spans="2:35" s="9" customFormat="1" x14ac:dyDescent="0.25">
      <c r="B120" s="10"/>
      <c r="D120" s="11"/>
      <c r="AF120" s="18"/>
      <c r="AI120" s="60"/>
    </row>
    <row r="121" spans="2:35" s="9" customFormat="1" x14ac:dyDescent="0.25">
      <c r="B121" s="10"/>
      <c r="D121" s="11"/>
      <c r="AF121" s="18"/>
      <c r="AI121" s="60"/>
    </row>
    <row r="122" spans="2:35" s="9" customFormat="1" x14ac:dyDescent="0.25">
      <c r="B122" s="10"/>
      <c r="D122" s="11"/>
      <c r="AF122" s="18"/>
      <c r="AI122" s="60"/>
    </row>
    <row r="123" spans="2:35" s="9" customFormat="1" x14ac:dyDescent="0.25">
      <c r="B123" s="10"/>
      <c r="D123" s="11"/>
      <c r="AF123" s="18"/>
      <c r="AI123" s="60"/>
    </row>
    <row r="124" spans="2:35" s="9" customFormat="1" x14ac:dyDescent="0.25">
      <c r="B124" s="10"/>
      <c r="D124" s="11"/>
      <c r="AF124" s="18"/>
      <c r="AI124" s="60"/>
    </row>
    <row r="125" spans="2:35" s="9" customFormat="1" x14ac:dyDescent="0.25">
      <c r="B125" s="10"/>
      <c r="D125" s="11"/>
      <c r="AF125" s="18"/>
      <c r="AI125" s="60"/>
    </row>
    <row r="126" spans="2:35" s="9" customFormat="1" x14ac:dyDescent="0.25">
      <c r="B126" s="10"/>
      <c r="D126" s="11"/>
      <c r="AF126" s="18"/>
      <c r="AI126" s="60"/>
    </row>
    <row r="127" spans="2:35" s="9" customFormat="1" x14ac:dyDescent="0.25">
      <c r="B127" s="10"/>
      <c r="D127" s="11"/>
      <c r="AF127" s="18"/>
      <c r="AI127" s="60"/>
    </row>
    <row r="128" spans="2:35" s="9" customFormat="1" x14ac:dyDescent="0.25">
      <c r="B128" s="10"/>
      <c r="D128" s="11"/>
      <c r="AF128" s="18"/>
      <c r="AI128" s="60"/>
    </row>
    <row r="129" spans="2:35" s="9" customFormat="1" x14ac:dyDescent="0.25">
      <c r="B129" s="10"/>
      <c r="D129" s="11"/>
      <c r="AF129" s="18"/>
      <c r="AI129" s="60"/>
    </row>
    <row r="130" spans="2:35" s="9" customFormat="1" x14ac:dyDescent="0.25">
      <c r="B130" s="10"/>
      <c r="D130" s="11"/>
      <c r="AF130" s="18"/>
      <c r="AI130" s="60"/>
    </row>
    <row r="131" spans="2:35" s="9" customFormat="1" x14ac:dyDescent="0.25">
      <c r="B131" s="10"/>
      <c r="D131" s="11"/>
      <c r="AF131" s="18"/>
      <c r="AI131" s="60"/>
    </row>
    <row r="132" spans="2:35" s="9" customFormat="1" x14ac:dyDescent="0.25">
      <c r="B132" s="10"/>
      <c r="D132" s="11"/>
      <c r="AF132" s="18"/>
      <c r="AI132" s="60"/>
    </row>
    <row r="133" spans="2:35" s="9" customFormat="1" x14ac:dyDescent="0.25">
      <c r="B133" s="10"/>
      <c r="D133" s="11"/>
      <c r="AF133" s="18"/>
      <c r="AI133" s="60"/>
    </row>
    <row r="134" spans="2:35" s="9" customFormat="1" x14ac:dyDescent="0.25">
      <c r="B134" s="10"/>
      <c r="D134" s="11"/>
      <c r="AF134" s="18"/>
      <c r="AI134" s="60"/>
    </row>
    <row r="135" spans="2:35" s="9" customFormat="1" x14ac:dyDescent="0.25">
      <c r="B135" s="10"/>
      <c r="D135" s="11"/>
      <c r="AF135" s="18"/>
      <c r="AI135" s="60"/>
    </row>
    <row r="136" spans="2:35" s="9" customFormat="1" x14ac:dyDescent="0.25">
      <c r="B136" s="10"/>
      <c r="D136" s="11"/>
      <c r="AF136" s="18"/>
      <c r="AI136" s="60"/>
    </row>
    <row r="137" spans="2:35" s="9" customFormat="1" x14ac:dyDescent="0.25">
      <c r="B137" s="10"/>
      <c r="D137" s="11"/>
      <c r="AF137" s="18"/>
      <c r="AI137" s="60"/>
    </row>
    <row r="138" spans="2:35" s="9" customFormat="1" x14ac:dyDescent="0.25">
      <c r="B138" s="10"/>
      <c r="D138" s="11"/>
      <c r="AF138" s="18"/>
      <c r="AI138" s="60"/>
    </row>
    <row r="139" spans="2:35" s="9" customFormat="1" x14ac:dyDescent="0.25">
      <c r="B139" s="10"/>
      <c r="D139" s="11"/>
      <c r="AF139" s="18"/>
      <c r="AI139" s="60"/>
    </row>
    <row r="140" spans="2:35" s="9" customFormat="1" x14ac:dyDescent="0.25">
      <c r="B140" s="10"/>
      <c r="D140" s="11"/>
      <c r="AF140" s="18"/>
      <c r="AI140" s="60"/>
    </row>
    <row r="141" spans="2:35" s="9" customFormat="1" x14ac:dyDescent="0.25">
      <c r="B141" s="10"/>
      <c r="D141" s="11"/>
      <c r="AF141" s="18"/>
      <c r="AI141" s="60"/>
    </row>
    <row r="142" spans="2:35" s="9" customFormat="1" x14ac:dyDescent="0.25">
      <c r="B142" s="10"/>
      <c r="D142" s="11"/>
      <c r="AF142" s="18"/>
      <c r="AI142" s="60"/>
    </row>
    <row r="143" spans="2:35" s="9" customFormat="1" x14ac:dyDescent="0.25">
      <c r="B143" s="10"/>
      <c r="D143" s="11"/>
      <c r="AF143" s="18"/>
      <c r="AI143" s="60"/>
    </row>
    <row r="144" spans="2:35" s="9" customFormat="1" x14ac:dyDescent="0.25">
      <c r="B144" s="10"/>
      <c r="D144" s="11"/>
      <c r="AF144" s="18"/>
      <c r="AI144" s="60"/>
    </row>
    <row r="145" spans="2:35" s="9" customFormat="1" x14ac:dyDescent="0.25">
      <c r="B145" s="10"/>
      <c r="D145" s="11"/>
      <c r="AF145" s="18"/>
      <c r="AI145" s="60"/>
    </row>
    <row r="146" spans="2:35" s="9" customFormat="1" x14ac:dyDescent="0.25">
      <c r="B146" s="10"/>
      <c r="D146" s="11"/>
      <c r="AF146" s="18"/>
      <c r="AI146" s="60"/>
    </row>
    <row r="147" spans="2:35" s="9" customFormat="1" x14ac:dyDescent="0.25">
      <c r="B147" s="10"/>
      <c r="D147" s="11"/>
      <c r="AF147" s="18"/>
      <c r="AI147" s="60"/>
    </row>
    <row r="148" spans="2:35" s="9" customFormat="1" x14ac:dyDescent="0.25">
      <c r="B148" s="10"/>
      <c r="D148" s="11"/>
      <c r="AF148" s="18"/>
      <c r="AI148" s="60"/>
    </row>
    <row r="149" spans="2:35" s="9" customFormat="1" x14ac:dyDescent="0.25">
      <c r="B149" s="10"/>
      <c r="D149" s="11"/>
      <c r="AF149" s="18"/>
      <c r="AI149" s="60"/>
    </row>
    <row r="150" spans="2:35" s="9" customFormat="1" x14ac:dyDescent="0.25">
      <c r="B150" s="10"/>
      <c r="D150" s="11"/>
      <c r="AF150" s="18"/>
      <c r="AI150" s="60"/>
    </row>
    <row r="151" spans="2:35" s="9" customFormat="1" x14ac:dyDescent="0.25">
      <c r="B151" s="10"/>
      <c r="D151" s="11"/>
      <c r="AF151" s="18"/>
      <c r="AI151" s="60"/>
    </row>
    <row r="152" spans="2:35" s="9" customFormat="1" x14ac:dyDescent="0.25">
      <c r="B152" s="10"/>
      <c r="D152" s="11"/>
      <c r="AF152" s="18"/>
      <c r="AI152" s="60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H2:AI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E796-3CC1-4F27-9AFA-1AD392B1BBFC}">
  <sheetPr>
    <tabColor theme="5"/>
  </sheetPr>
  <dimension ref="A1:BH152"/>
  <sheetViews>
    <sheetView zoomScale="115" zoomScaleNormal="115" workbookViewId="0">
      <selection activeCell="AI22" sqref="AI22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0" style="9" hidden="1" customWidth="1"/>
    <col min="15" max="15" width="21.85546875" style="9" hidden="1" customWidth="1"/>
    <col min="16" max="16" width="7.42578125" style="9" hidden="1" customWidth="1"/>
    <col min="17" max="18" width="11.42578125" style="9" hidden="1" customWidth="1"/>
    <col min="19" max="19" width="4" style="9" hidden="1" customWidth="1"/>
    <col min="20" max="20" width="0" style="9" hidden="1" customWidth="1"/>
    <col min="21" max="21" width="21.85546875" style="9" hidden="1" customWidth="1"/>
    <col min="22" max="22" width="7.42578125" style="9" hidden="1" customWidth="1"/>
    <col min="23" max="24" width="11.42578125" style="9" hidden="1" customWidth="1"/>
    <col min="25" max="25" width="4.5703125" style="9" hidden="1" customWidth="1"/>
    <col min="26" max="26" width="11.42578125" style="9" hidden="1" customWidth="1"/>
    <col min="27" max="27" width="21.85546875" style="9" hidden="1" customWidth="1"/>
    <col min="28" max="30" width="11.42578125" style="9" hidden="1" customWidth="1"/>
    <col min="31" max="31" width="3.42578125" style="9" customWidth="1"/>
    <col min="32" max="32" width="0.85546875" style="18" customWidth="1"/>
    <col min="33" max="33" width="6.85546875" style="9" customWidth="1"/>
    <col min="34" max="34" width="24" style="9" customWidth="1"/>
    <col min="35" max="35" width="11.42578125" style="60"/>
    <col min="36" max="60" width="11.42578125" style="9"/>
  </cols>
  <sheetData>
    <row r="1" spans="1:60" s="9" customFormat="1" x14ac:dyDescent="0.25">
      <c r="B1" s="10"/>
      <c r="D1" s="11"/>
      <c r="AF1" s="18"/>
      <c r="AI1" s="60"/>
    </row>
    <row r="2" spans="1:60" s="9" customFormat="1" ht="28.5" customHeight="1" thickBot="1" x14ac:dyDescent="0.3">
      <c r="B2" s="10"/>
      <c r="D2" s="11"/>
      <c r="AF2" s="18"/>
      <c r="AH2" s="86" t="s">
        <v>53</v>
      </c>
      <c r="AI2" s="86"/>
      <c r="AJ2" s="26"/>
      <c r="AK2" s="26"/>
      <c r="AL2" s="26"/>
    </row>
    <row r="3" spans="1:60" ht="22.5" customHeight="1" thickBot="1" x14ac:dyDescent="0.3">
      <c r="C3" s="87" t="s">
        <v>447</v>
      </c>
      <c r="D3" s="88"/>
      <c r="E3" s="88"/>
      <c r="F3" s="89"/>
      <c r="H3" s="8"/>
      <c r="I3" s="87" t="s">
        <v>261</v>
      </c>
      <c r="J3" s="88"/>
      <c r="K3" s="88"/>
      <c r="L3" s="89"/>
      <c r="N3" s="8"/>
      <c r="O3" s="87" t="s">
        <v>48</v>
      </c>
      <c r="P3" s="88"/>
      <c r="Q3" s="88"/>
      <c r="R3" s="89"/>
      <c r="T3" s="8"/>
      <c r="U3" s="87" t="s">
        <v>48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H3" s="24"/>
      <c r="AI3" s="26"/>
      <c r="AJ3" s="24"/>
      <c r="AK3" s="24"/>
      <c r="AL3" s="24"/>
    </row>
    <row r="4" spans="1:60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0</v>
      </c>
      <c r="E4" s="94"/>
      <c r="F4" s="95"/>
      <c r="G4" s="29"/>
      <c r="H4" s="91" t="s">
        <v>9</v>
      </c>
      <c r="I4" s="27" t="s">
        <v>1</v>
      </c>
      <c r="J4" s="12">
        <f>J6+J7+J8+J9+J10+J11</f>
        <v>91</v>
      </c>
      <c r="K4" s="94"/>
      <c r="L4" s="95"/>
      <c r="M4" s="29"/>
      <c r="N4" s="91" t="s">
        <v>9</v>
      </c>
      <c r="O4" s="27" t="s">
        <v>1</v>
      </c>
      <c r="P4" s="12">
        <f>P6+P7+P8+P9+P10+P11</f>
        <v>0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1"/>
      <c r="AG4" s="29"/>
      <c r="AH4" s="28" t="s">
        <v>1</v>
      </c>
      <c r="AI4" s="25">
        <f>J4+P4+V4</f>
        <v>91</v>
      </c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</row>
    <row r="5" spans="1:60" ht="15.75" customHeight="1" x14ac:dyDescent="0.25">
      <c r="B5" s="92"/>
      <c r="C5" s="6" t="s">
        <v>0</v>
      </c>
      <c r="D5" s="16">
        <v>0</v>
      </c>
      <c r="E5" s="96"/>
      <c r="F5" s="97"/>
      <c r="H5" s="92"/>
      <c r="I5" s="6" t="s">
        <v>0</v>
      </c>
      <c r="J5" s="16">
        <v>37</v>
      </c>
      <c r="K5" s="96"/>
      <c r="L5" s="97"/>
      <c r="N5" s="92"/>
      <c r="O5" s="6" t="s">
        <v>0</v>
      </c>
      <c r="P5" s="16">
        <v>0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H5" s="6" t="s">
        <v>0</v>
      </c>
      <c r="AI5" s="16">
        <f>J5+P5+V5</f>
        <v>37</v>
      </c>
    </row>
    <row r="6" spans="1:60" ht="15.75" customHeight="1" x14ac:dyDescent="0.25">
      <c r="B6" s="92"/>
      <c r="C6" s="2" t="s">
        <v>2</v>
      </c>
      <c r="D6" s="4">
        <v>0</v>
      </c>
      <c r="E6" s="96"/>
      <c r="F6" s="97"/>
      <c r="H6" s="92"/>
      <c r="I6" s="2" t="s">
        <v>2</v>
      </c>
      <c r="J6" s="4">
        <v>24</v>
      </c>
      <c r="K6" s="96"/>
      <c r="L6" s="97"/>
      <c r="N6" s="92"/>
      <c r="O6" s="2" t="s">
        <v>2</v>
      </c>
      <c r="P6" s="4">
        <v>0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H6" s="2" t="s">
        <v>2</v>
      </c>
      <c r="AI6" s="4">
        <f t="shared" ref="AI6:AI15" si="0">+J6+P6+V6</f>
        <v>24</v>
      </c>
    </row>
    <row r="7" spans="1:60" x14ac:dyDescent="0.25">
      <c r="B7" s="92"/>
      <c r="C7" s="2" t="s">
        <v>3</v>
      </c>
      <c r="D7" s="4">
        <v>0</v>
      </c>
      <c r="E7" s="96"/>
      <c r="F7" s="97"/>
      <c r="H7" s="92"/>
      <c r="I7" s="2" t="s">
        <v>3</v>
      </c>
      <c r="J7" s="4">
        <v>24</v>
      </c>
      <c r="K7" s="96"/>
      <c r="L7" s="97"/>
      <c r="N7" s="92"/>
      <c r="O7" s="2" t="s">
        <v>3</v>
      </c>
      <c r="P7" s="4">
        <v>0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H7" s="2" t="s">
        <v>3</v>
      </c>
      <c r="AI7" s="4">
        <f t="shared" si="0"/>
        <v>24</v>
      </c>
    </row>
    <row r="8" spans="1:60" x14ac:dyDescent="0.25">
      <c r="B8" s="92"/>
      <c r="C8" s="2" t="s">
        <v>4</v>
      </c>
      <c r="D8" s="4">
        <v>0</v>
      </c>
      <c r="E8" s="96"/>
      <c r="F8" s="97"/>
      <c r="H8" s="92"/>
      <c r="I8" s="2" t="s">
        <v>4</v>
      </c>
      <c r="J8" s="4">
        <v>19</v>
      </c>
      <c r="K8" s="96"/>
      <c r="L8" s="97"/>
      <c r="N8" s="92"/>
      <c r="O8" s="2" t="s">
        <v>4</v>
      </c>
      <c r="P8" s="4">
        <v>0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H8" s="2" t="s">
        <v>4</v>
      </c>
      <c r="AI8" s="4">
        <f t="shared" si="0"/>
        <v>19</v>
      </c>
    </row>
    <row r="9" spans="1:60" x14ac:dyDescent="0.25">
      <c r="B9" s="92"/>
      <c r="C9" s="2" t="s">
        <v>5</v>
      </c>
      <c r="D9" s="4">
        <v>0</v>
      </c>
      <c r="E9" s="96"/>
      <c r="F9" s="97"/>
      <c r="H9" s="92"/>
      <c r="I9" s="2" t="s">
        <v>5</v>
      </c>
      <c r="J9" s="4">
        <v>19</v>
      </c>
      <c r="K9" s="96"/>
      <c r="L9" s="97"/>
      <c r="N9" s="92"/>
      <c r="O9" s="2" t="s">
        <v>5</v>
      </c>
      <c r="P9" s="4">
        <v>0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H9" s="2" t="s">
        <v>5</v>
      </c>
      <c r="AI9" s="4">
        <f t="shared" si="0"/>
        <v>19</v>
      </c>
    </row>
    <row r="10" spans="1:60" ht="15.75" thickBot="1" x14ac:dyDescent="0.3">
      <c r="B10" s="92"/>
      <c r="C10" s="7" t="s">
        <v>6</v>
      </c>
      <c r="D10" s="15">
        <v>0</v>
      </c>
      <c r="E10" s="96"/>
      <c r="F10" s="97"/>
      <c r="H10" s="92"/>
      <c r="I10" s="7" t="s">
        <v>6</v>
      </c>
      <c r="J10" s="15">
        <v>3</v>
      </c>
      <c r="K10" s="96"/>
      <c r="L10" s="97"/>
      <c r="N10" s="92"/>
      <c r="O10" s="7" t="s">
        <v>6</v>
      </c>
      <c r="P10" s="15">
        <v>0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H10" s="7" t="s">
        <v>6</v>
      </c>
      <c r="AI10" s="15">
        <f t="shared" si="0"/>
        <v>3</v>
      </c>
    </row>
    <row r="11" spans="1:60" ht="15.75" thickBot="1" x14ac:dyDescent="0.3">
      <c r="B11" s="92"/>
      <c r="C11" s="2" t="s">
        <v>7</v>
      </c>
      <c r="D11" s="4">
        <v>0</v>
      </c>
      <c r="E11" s="98" t="s">
        <v>33</v>
      </c>
      <c r="F11" s="99"/>
      <c r="H11" s="92"/>
      <c r="I11" s="2" t="s">
        <v>7</v>
      </c>
      <c r="J11" s="4">
        <v>2</v>
      </c>
      <c r="K11" s="98" t="s">
        <v>33</v>
      </c>
      <c r="L11" s="99"/>
      <c r="N11" s="92"/>
      <c r="O11" s="2" t="s">
        <v>7</v>
      </c>
      <c r="P11" s="4">
        <v>0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H11" s="2" t="s">
        <v>7</v>
      </c>
      <c r="AI11" s="4">
        <f t="shared" si="0"/>
        <v>2</v>
      </c>
    </row>
    <row r="12" spans="1:60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H12" s="2" t="s">
        <v>49</v>
      </c>
      <c r="AI12" s="4">
        <f t="shared" si="0"/>
        <v>0</v>
      </c>
    </row>
    <row r="13" spans="1:60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H13" s="2" t="s">
        <v>50</v>
      </c>
      <c r="AI13" s="4">
        <f t="shared" si="0"/>
        <v>0</v>
      </c>
    </row>
    <row r="14" spans="1:60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H14" s="2" t="s">
        <v>51</v>
      </c>
      <c r="AI14" s="4">
        <f t="shared" si="0"/>
        <v>0</v>
      </c>
    </row>
    <row r="15" spans="1:60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H15" s="3" t="s">
        <v>52</v>
      </c>
      <c r="AI15" s="5">
        <f t="shared" si="0"/>
        <v>0</v>
      </c>
    </row>
    <row r="16" spans="1:60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F16" s="18"/>
      <c r="AI16" s="60"/>
    </row>
    <row r="17" spans="2:35" x14ac:dyDescent="0.25">
      <c r="B17" s="104" t="s">
        <v>28</v>
      </c>
      <c r="C17" s="6" t="s">
        <v>10</v>
      </c>
      <c r="D17" s="107" t="s">
        <v>34</v>
      </c>
      <c r="E17" s="108"/>
      <c r="F17" s="9"/>
      <c r="H17" s="104" t="s">
        <v>28</v>
      </c>
      <c r="I17" s="6" t="s">
        <v>10</v>
      </c>
      <c r="J17" s="107" t="s">
        <v>34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34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5" ht="15.75" thickBot="1" x14ac:dyDescent="0.3">
      <c r="B18" s="105"/>
      <c r="C18" s="2" t="s">
        <v>11</v>
      </c>
      <c r="D18" s="100" t="s">
        <v>35</v>
      </c>
      <c r="E18" s="101"/>
      <c r="F18" s="9"/>
      <c r="H18" s="105"/>
      <c r="I18" s="2" t="s">
        <v>11</v>
      </c>
      <c r="J18" s="100" t="s">
        <v>35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35</v>
      </c>
      <c r="W18" s="101"/>
      <c r="Z18" s="105"/>
      <c r="AA18" s="2" t="s">
        <v>11</v>
      </c>
      <c r="AB18" s="100" t="s">
        <v>35</v>
      </c>
      <c r="AC18" s="101"/>
    </row>
    <row r="19" spans="2:35" ht="15.75" thickBot="1" x14ac:dyDescent="0.3">
      <c r="B19" s="105"/>
      <c r="C19" s="2" t="s">
        <v>12</v>
      </c>
      <c r="D19" s="100" t="s">
        <v>235</v>
      </c>
      <c r="E19" s="101"/>
      <c r="F19" s="9"/>
      <c r="H19" s="105"/>
      <c r="I19" s="2" t="s">
        <v>12</v>
      </c>
      <c r="J19" s="100" t="s">
        <v>262</v>
      </c>
      <c r="K19" s="101"/>
      <c r="N19" s="105"/>
      <c r="O19" s="2" t="s">
        <v>12</v>
      </c>
      <c r="P19" s="100" t="s">
        <v>36</v>
      </c>
      <c r="Q19" s="101"/>
      <c r="T19" s="105"/>
      <c r="U19" s="2" t="s">
        <v>12</v>
      </c>
      <c r="V19" s="100" t="s">
        <v>36</v>
      </c>
      <c r="W19" s="101"/>
      <c r="Z19" s="105"/>
      <c r="AA19" s="2" t="s">
        <v>12</v>
      </c>
      <c r="AB19" s="100" t="s">
        <v>36</v>
      </c>
      <c r="AC19" s="101"/>
      <c r="AH19" s="51" t="s">
        <v>54</v>
      </c>
      <c r="AI19" s="52">
        <f>+AI20+AI21</f>
        <v>2</v>
      </c>
    </row>
    <row r="20" spans="2:35" ht="15.75" thickBot="1" x14ac:dyDescent="0.3">
      <c r="B20" s="106"/>
      <c r="C20" s="3" t="s">
        <v>13</v>
      </c>
      <c r="D20" s="102" t="s">
        <v>237</v>
      </c>
      <c r="E20" s="103"/>
      <c r="F20" s="9"/>
      <c r="H20" s="106"/>
      <c r="I20" s="3" t="s">
        <v>13</v>
      </c>
      <c r="J20" s="102" t="s">
        <v>263</v>
      </c>
      <c r="K20" s="103"/>
      <c r="N20" s="106"/>
      <c r="O20" s="3" t="s">
        <v>13</v>
      </c>
      <c r="P20" s="102" t="s">
        <v>36</v>
      </c>
      <c r="Q20" s="103"/>
      <c r="T20" s="106"/>
      <c r="U20" s="3" t="s">
        <v>13</v>
      </c>
      <c r="V20" s="102" t="s">
        <v>36</v>
      </c>
      <c r="W20" s="103"/>
      <c r="Z20" s="106"/>
      <c r="AA20" s="3" t="s">
        <v>13</v>
      </c>
      <c r="AB20" s="102" t="s">
        <v>36</v>
      </c>
      <c r="AC20" s="103"/>
      <c r="AH20" s="49" t="s">
        <v>55</v>
      </c>
      <c r="AI20" s="61">
        <v>2</v>
      </c>
    </row>
    <row r="21" spans="2:35" ht="15.75" thickBot="1" x14ac:dyDescent="0.3">
      <c r="B21" s="109" t="s">
        <v>29</v>
      </c>
      <c r="C21" s="6" t="s">
        <v>14</v>
      </c>
      <c r="D21" s="107" t="s">
        <v>239</v>
      </c>
      <c r="E21" s="108"/>
      <c r="F21" s="9"/>
      <c r="H21" s="109" t="s">
        <v>29</v>
      </c>
      <c r="I21" s="6" t="s">
        <v>14</v>
      </c>
      <c r="J21" s="107" t="s">
        <v>264</v>
      </c>
      <c r="K21" s="108"/>
      <c r="N21" s="109" t="s">
        <v>29</v>
      </c>
      <c r="O21" s="6" t="s">
        <v>14</v>
      </c>
      <c r="P21" s="107" t="s">
        <v>37</v>
      </c>
      <c r="Q21" s="108"/>
      <c r="T21" s="109" t="s">
        <v>29</v>
      </c>
      <c r="U21" s="6" t="s">
        <v>14</v>
      </c>
      <c r="V21" s="107" t="s">
        <v>37</v>
      </c>
      <c r="W21" s="108"/>
      <c r="Z21" s="109" t="s">
        <v>29</v>
      </c>
      <c r="AA21" s="6" t="s">
        <v>14</v>
      </c>
      <c r="AB21" s="107" t="s">
        <v>37</v>
      </c>
      <c r="AC21" s="108"/>
      <c r="AH21" s="47" t="s">
        <v>56</v>
      </c>
      <c r="AI21" s="62">
        <v>0</v>
      </c>
    </row>
    <row r="22" spans="2:35" x14ac:dyDescent="0.25">
      <c r="B22" s="110"/>
      <c r="C22" s="2" t="s">
        <v>15</v>
      </c>
      <c r="D22" s="137">
        <v>14287553</v>
      </c>
      <c r="E22" s="101"/>
      <c r="F22" s="9"/>
      <c r="H22" s="110"/>
      <c r="I22" s="2" t="s">
        <v>15</v>
      </c>
      <c r="J22" s="137">
        <v>20288753</v>
      </c>
      <c r="K22" s="101"/>
      <c r="N22" s="110"/>
      <c r="O22" s="2" t="s">
        <v>15</v>
      </c>
      <c r="P22" s="100" t="s">
        <v>38</v>
      </c>
      <c r="Q22" s="101"/>
      <c r="T22" s="110"/>
      <c r="U22" s="2" t="s">
        <v>15</v>
      </c>
      <c r="V22" s="100" t="s">
        <v>38</v>
      </c>
      <c r="W22" s="101"/>
      <c r="Z22" s="110"/>
      <c r="AA22" s="2" t="s">
        <v>15</v>
      </c>
      <c r="AB22" s="100" t="s">
        <v>38</v>
      </c>
      <c r="AC22" s="101"/>
    </row>
    <row r="23" spans="2:35" x14ac:dyDescent="0.25">
      <c r="B23" s="110"/>
      <c r="C23" s="2" t="s">
        <v>16</v>
      </c>
      <c r="D23" s="100" t="s">
        <v>448</v>
      </c>
      <c r="E23" s="101"/>
      <c r="F23" s="9"/>
      <c r="H23" s="110"/>
      <c r="I23" s="2" t="s">
        <v>16</v>
      </c>
      <c r="J23" s="100">
        <v>4242796932</v>
      </c>
      <c r="K23" s="101"/>
      <c r="N23" s="110"/>
      <c r="O23" s="2" t="s">
        <v>16</v>
      </c>
      <c r="P23" s="100" t="s">
        <v>39</v>
      </c>
      <c r="Q23" s="101"/>
      <c r="T23" s="110"/>
      <c r="U23" s="2" t="s">
        <v>16</v>
      </c>
      <c r="V23" s="100" t="s">
        <v>39</v>
      </c>
      <c r="W23" s="101"/>
      <c r="Z23" s="110"/>
      <c r="AA23" s="2" t="s">
        <v>16</v>
      </c>
      <c r="AB23" s="100" t="s">
        <v>39</v>
      </c>
      <c r="AC23" s="101"/>
    </row>
    <row r="24" spans="2:35" ht="15.75" thickBot="1" x14ac:dyDescent="0.3">
      <c r="B24" s="111"/>
      <c r="C24" s="3" t="s">
        <v>17</v>
      </c>
      <c r="D24" s="102" t="s">
        <v>449</v>
      </c>
      <c r="E24" s="103"/>
      <c r="F24" s="9"/>
      <c r="H24" s="111"/>
      <c r="I24" s="3" t="s">
        <v>17</v>
      </c>
      <c r="J24" s="102" t="s">
        <v>266</v>
      </c>
      <c r="K24" s="103"/>
      <c r="N24" s="111"/>
      <c r="O24" s="3" t="s">
        <v>17</v>
      </c>
      <c r="P24" s="102" t="s">
        <v>40</v>
      </c>
      <c r="Q24" s="103"/>
      <c r="T24" s="111"/>
      <c r="U24" s="3" t="s">
        <v>17</v>
      </c>
      <c r="V24" s="102" t="s">
        <v>40</v>
      </c>
      <c r="W24" s="103"/>
      <c r="Z24" s="111"/>
      <c r="AA24" s="3" t="s">
        <v>17</v>
      </c>
      <c r="AB24" s="102" t="s">
        <v>40</v>
      </c>
      <c r="AC24" s="103"/>
    </row>
    <row r="25" spans="2:35" x14ac:dyDescent="0.25">
      <c r="B25" s="109" t="s">
        <v>30</v>
      </c>
      <c r="C25" s="6" t="s">
        <v>18</v>
      </c>
      <c r="D25" s="107" t="s">
        <v>450</v>
      </c>
      <c r="E25" s="108"/>
      <c r="F25" s="9"/>
      <c r="H25" s="109" t="s">
        <v>30</v>
      </c>
      <c r="I25" s="6" t="s">
        <v>18</v>
      </c>
      <c r="J25" s="107" t="s">
        <v>451</v>
      </c>
      <c r="K25" s="108"/>
      <c r="N25" s="109" t="s">
        <v>30</v>
      </c>
      <c r="O25" s="6" t="s">
        <v>18</v>
      </c>
      <c r="P25" s="107" t="s">
        <v>41</v>
      </c>
      <c r="Q25" s="108"/>
      <c r="T25" s="109" t="s">
        <v>30</v>
      </c>
      <c r="U25" s="6" t="s">
        <v>18</v>
      </c>
      <c r="V25" s="107" t="s">
        <v>41</v>
      </c>
      <c r="W25" s="108"/>
      <c r="Z25" s="109" t="s">
        <v>30</v>
      </c>
      <c r="AA25" s="6" t="s">
        <v>18</v>
      </c>
      <c r="AB25" s="107" t="s">
        <v>41</v>
      </c>
      <c r="AC25" s="108"/>
    </row>
    <row r="26" spans="2:35" x14ac:dyDescent="0.25">
      <c r="B26" s="110"/>
      <c r="C26" s="2" t="s">
        <v>15</v>
      </c>
      <c r="D26" s="137">
        <v>13283833</v>
      </c>
      <c r="E26" s="101"/>
      <c r="F26" s="9"/>
      <c r="H26" s="110"/>
      <c r="I26" s="2" t="s">
        <v>15</v>
      </c>
      <c r="J26" s="137">
        <v>12297171</v>
      </c>
      <c r="K26" s="101"/>
      <c r="N26" s="110"/>
      <c r="O26" s="2" t="s">
        <v>15</v>
      </c>
      <c r="P26" s="100" t="s">
        <v>38</v>
      </c>
      <c r="Q26" s="101"/>
      <c r="T26" s="110"/>
      <c r="U26" s="2" t="s">
        <v>15</v>
      </c>
      <c r="V26" s="100" t="s">
        <v>38</v>
      </c>
      <c r="W26" s="101"/>
      <c r="Z26" s="110"/>
      <c r="AA26" s="2" t="s">
        <v>15</v>
      </c>
      <c r="AB26" s="100" t="s">
        <v>38</v>
      </c>
      <c r="AC26" s="101"/>
    </row>
    <row r="27" spans="2:35" x14ac:dyDescent="0.25">
      <c r="B27" s="110"/>
      <c r="C27" s="2" t="s">
        <v>16</v>
      </c>
      <c r="D27" s="100" t="s">
        <v>452</v>
      </c>
      <c r="E27" s="101"/>
      <c r="F27" s="9"/>
      <c r="H27" s="110"/>
      <c r="I27" s="2" t="s">
        <v>16</v>
      </c>
      <c r="J27" s="100" t="s">
        <v>268</v>
      </c>
      <c r="K27" s="101"/>
      <c r="N27" s="110"/>
      <c r="O27" s="2" t="s">
        <v>16</v>
      </c>
      <c r="P27" s="100" t="s">
        <v>39</v>
      </c>
      <c r="Q27" s="101"/>
      <c r="T27" s="110"/>
      <c r="U27" s="2" t="s">
        <v>16</v>
      </c>
      <c r="V27" s="100" t="s">
        <v>39</v>
      </c>
      <c r="W27" s="101"/>
      <c r="Z27" s="110"/>
      <c r="AA27" s="2" t="s">
        <v>16</v>
      </c>
      <c r="AB27" s="100" t="s">
        <v>39</v>
      </c>
      <c r="AC27" s="101"/>
    </row>
    <row r="28" spans="2:35" x14ac:dyDescent="0.25">
      <c r="B28" s="110"/>
      <c r="C28" s="2" t="s">
        <v>19</v>
      </c>
      <c r="D28" s="100" t="s">
        <v>453</v>
      </c>
      <c r="E28" s="101"/>
      <c r="F28" s="9"/>
      <c r="H28" s="110"/>
      <c r="I28" s="2" t="s">
        <v>19</v>
      </c>
      <c r="J28" s="100" t="s">
        <v>454</v>
      </c>
      <c r="K28" s="101"/>
      <c r="N28" s="110"/>
      <c r="O28" s="2" t="s">
        <v>19</v>
      </c>
      <c r="P28" s="100" t="s">
        <v>42</v>
      </c>
      <c r="Q28" s="101"/>
      <c r="T28" s="110"/>
      <c r="U28" s="2" t="s">
        <v>19</v>
      </c>
      <c r="V28" s="100" t="s">
        <v>42</v>
      </c>
      <c r="W28" s="101"/>
      <c r="Z28" s="110"/>
      <c r="AA28" s="2" t="s">
        <v>19</v>
      </c>
      <c r="AB28" s="100" t="s">
        <v>42</v>
      </c>
      <c r="AC28" s="101"/>
    </row>
    <row r="29" spans="2:35" x14ac:dyDescent="0.25">
      <c r="B29" s="110"/>
      <c r="C29" s="2" t="s">
        <v>20</v>
      </c>
      <c r="D29" s="100">
        <v>10</v>
      </c>
      <c r="E29" s="101"/>
      <c r="F29" s="9"/>
      <c r="H29" s="110"/>
      <c r="I29" s="2" t="s">
        <v>20</v>
      </c>
      <c r="J29" s="100">
        <v>23</v>
      </c>
      <c r="K29" s="101"/>
      <c r="N29" s="110"/>
      <c r="O29" s="2" t="s">
        <v>20</v>
      </c>
      <c r="P29" s="100" t="s">
        <v>8</v>
      </c>
      <c r="Q29" s="101"/>
      <c r="T29" s="110"/>
      <c r="U29" s="2" t="s">
        <v>20</v>
      </c>
      <c r="V29" s="100" t="s">
        <v>8</v>
      </c>
      <c r="W29" s="101"/>
      <c r="Z29" s="110"/>
      <c r="AA29" s="2" t="s">
        <v>20</v>
      </c>
      <c r="AB29" s="100" t="s">
        <v>8</v>
      </c>
      <c r="AC29" s="101"/>
    </row>
    <row r="30" spans="2:35" ht="15.75" thickBot="1" x14ac:dyDescent="0.3">
      <c r="B30" s="111"/>
      <c r="C30" s="3" t="s">
        <v>21</v>
      </c>
      <c r="D30" s="102" t="s">
        <v>455</v>
      </c>
      <c r="E30" s="103"/>
      <c r="F30" s="9"/>
      <c r="H30" s="111"/>
      <c r="I30" s="3" t="s">
        <v>21</v>
      </c>
      <c r="J30" s="102">
        <v>1</v>
      </c>
      <c r="K30" s="103"/>
      <c r="N30" s="111"/>
      <c r="O30" s="3" t="s">
        <v>21</v>
      </c>
      <c r="P30" s="102" t="s">
        <v>8</v>
      </c>
      <c r="Q30" s="103"/>
      <c r="T30" s="111"/>
      <c r="U30" s="3" t="s">
        <v>21</v>
      </c>
      <c r="V30" s="102" t="s">
        <v>8</v>
      </c>
      <c r="W30" s="103"/>
      <c r="Z30" s="111"/>
      <c r="AA30" s="3" t="s">
        <v>21</v>
      </c>
      <c r="AB30" s="102" t="s">
        <v>8</v>
      </c>
      <c r="AC30" s="103"/>
    </row>
    <row r="31" spans="2:35" x14ac:dyDescent="0.25">
      <c r="B31" s="104" t="s">
        <v>32</v>
      </c>
      <c r="C31" s="6" t="s">
        <v>23</v>
      </c>
      <c r="D31" s="107" t="s">
        <v>88</v>
      </c>
      <c r="E31" s="108"/>
      <c r="F31" s="9"/>
      <c r="H31" s="104" t="s">
        <v>32</v>
      </c>
      <c r="I31" s="6" t="s">
        <v>23</v>
      </c>
      <c r="J31" s="107" t="s">
        <v>456</v>
      </c>
      <c r="K31" s="108"/>
      <c r="N31" s="104" t="s">
        <v>32</v>
      </c>
      <c r="O31" s="6" t="s">
        <v>23</v>
      </c>
      <c r="P31" s="107" t="s">
        <v>22</v>
      </c>
      <c r="Q31" s="108"/>
      <c r="T31" s="104" t="s">
        <v>32</v>
      </c>
      <c r="U31" s="6" t="s">
        <v>23</v>
      </c>
      <c r="V31" s="107" t="s">
        <v>22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5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88</v>
      </c>
      <c r="K32" s="113"/>
      <c r="N32" s="105"/>
      <c r="O32" s="2" t="s">
        <v>24</v>
      </c>
      <c r="P32" s="112" t="s">
        <v>22</v>
      </c>
      <c r="Q32" s="113"/>
      <c r="T32" s="105"/>
      <c r="U32" s="2" t="s">
        <v>24</v>
      </c>
      <c r="V32" s="112" t="s">
        <v>22</v>
      </c>
      <c r="W32" s="113"/>
      <c r="Z32" s="105"/>
      <c r="AA32" s="2" t="s">
        <v>24</v>
      </c>
      <c r="AB32" s="112" t="s">
        <v>22</v>
      </c>
      <c r="AC32" s="113"/>
    </row>
    <row r="33" spans="2:35" x14ac:dyDescent="0.25">
      <c r="B33" s="105"/>
      <c r="C33" s="2" t="s">
        <v>25</v>
      </c>
      <c r="D33" s="112" t="s">
        <v>88</v>
      </c>
      <c r="E33" s="113"/>
      <c r="F33" s="9"/>
      <c r="H33" s="105"/>
      <c r="I33" s="2" t="s">
        <v>25</v>
      </c>
      <c r="J33" s="112" t="s">
        <v>87</v>
      </c>
      <c r="K33" s="113"/>
      <c r="N33" s="105"/>
      <c r="O33" s="2" t="s">
        <v>25</v>
      </c>
      <c r="P33" s="112" t="s">
        <v>22</v>
      </c>
      <c r="Q33" s="113"/>
      <c r="T33" s="105"/>
      <c r="U33" s="2" t="s">
        <v>25</v>
      </c>
      <c r="V33" s="112" t="s">
        <v>22</v>
      </c>
      <c r="W33" s="113"/>
      <c r="Z33" s="105"/>
      <c r="AA33" s="2" t="s">
        <v>25</v>
      </c>
      <c r="AB33" s="112" t="s">
        <v>22</v>
      </c>
      <c r="AC33" s="113"/>
    </row>
    <row r="34" spans="2:35" ht="15.75" thickBot="1" x14ac:dyDescent="0.3">
      <c r="B34" s="105"/>
      <c r="C34" s="7" t="s">
        <v>26</v>
      </c>
      <c r="D34" s="114" t="s">
        <v>88</v>
      </c>
      <c r="E34" s="115"/>
      <c r="F34" s="9"/>
      <c r="H34" s="105"/>
      <c r="I34" s="7" t="s">
        <v>26</v>
      </c>
      <c r="J34" s="114" t="s">
        <v>88</v>
      </c>
      <c r="K34" s="115"/>
      <c r="N34" s="105"/>
      <c r="O34" s="7" t="s">
        <v>26</v>
      </c>
      <c r="P34" s="114" t="s">
        <v>22</v>
      </c>
      <c r="Q34" s="115"/>
      <c r="T34" s="105"/>
      <c r="U34" s="7" t="s">
        <v>26</v>
      </c>
      <c r="V34" s="114" t="s">
        <v>22</v>
      </c>
      <c r="W34" s="115"/>
      <c r="Z34" s="105"/>
      <c r="AA34" s="7" t="s">
        <v>26</v>
      </c>
      <c r="AB34" s="114" t="s">
        <v>22</v>
      </c>
      <c r="AC34" s="115"/>
    </row>
    <row r="35" spans="2:35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</row>
    <row r="36" spans="2:35" x14ac:dyDescent="0.25">
      <c r="B36" s="110"/>
      <c r="C36" s="119" t="s">
        <v>457</v>
      </c>
      <c r="D36" s="120"/>
      <c r="E36" s="120"/>
      <c r="F36" s="121"/>
      <c r="H36" s="110"/>
      <c r="I36" s="119" t="s">
        <v>458</v>
      </c>
      <c r="J36" s="120"/>
      <c r="K36" s="120"/>
      <c r="L36" s="121"/>
      <c r="N36" s="110"/>
      <c r="O36" s="119" t="s">
        <v>43</v>
      </c>
      <c r="P36" s="120"/>
      <c r="Q36" s="120"/>
      <c r="R36" s="121"/>
      <c r="T36" s="110"/>
      <c r="U36" s="119" t="s">
        <v>43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</row>
    <row r="37" spans="2:35" x14ac:dyDescent="0.25">
      <c r="B37" s="110"/>
      <c r="C37" s="122" t="s">
        <v>459</v>
      </c>
      <c r="D37" s="123"/>
      <c r="E37" s="123"/>
      <c r="F37" s="124"/>
      <c r="H37" s="110"/>
      <c r="I37" s="122" t="s">
        <v>460</v>
      </c>
      <c r="J37" s="123"/>
      <c r="K37" s="123"/>
      <c r="L37" s="124"/>
      <c r="N37" s="110"/>
      <c r="O37" s="122" t="s">
        <v>43</v>
      </c>
      <c r="P37" s="123"/>
      <c r="Q37" s="123"/>
      <c r="R37" s="124"/>
      <c r="T37" s="110"/>
      <c r="U37" s="122" t="s">
        <v>43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</row>
    <row r="38" spans="2:35" x14ac:dyDescent="0.25">
      <c r="B38" s="110"/>
      <c r="C38" s="122" t="s">
        <v>461</v>
      </c>
      <c r="D38" s="123"/>
      <c r="E38" s="123"/>
      <c r="F38" s="124"/>
      <c r="H38" s="110"/>
      <c r="I38" s="122" t="s">
        <v>43</v>
      </c>
      <c r="J38" s="123"/>
      <c r="K38" s="123"/>
      <c r="L38" s="124"/>
      <c r="N38" s="110"/>
      <c r="O38" s="122" t="s">
        <v>43</v>
      </c>
      <c r="P38" s="123"/>
      <c r="Q38" s="123"/>
      <c r="R38" s="124"/>
      <c r="T38" s="110"/>
      <c r="U38" s="122" t="s">
        <v>43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</row>
    <row r="39" spans="2:35" ht="15.75" thickBot="1" x14ac:dyDescent="0.3">
      <c r="B39" s="111"/>
      <c r="C39" s="125"/>
      <c r="D39" s="126"/>
      <c r="E39" s="126"/>
      <c r="F39" s="127"/>
      <c r="H39" s="111"/>
      <c r="I39" s="125" t="s">
        <v>43</v>
      </c>
      <c r="J39" s="126"/>
      <c r="K39" s="126"/>
      <c r="L39" s="127"/>
      <c r="N39" s="111"/>
      <c r="O39" s="125" t="s">
        <v>43</v>
      </c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</row>
    <row r="40" spans="2:35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F40" s="18"/>
      <c r="AI40" s="60"/>
    </row>
    <row r="41" spans="2:35" s="9" customFormat="1" x14ac:dyDescent="0.25">
      <c r="B41" s="10"/>
      <c r="C41" s="13" t="s">
        <v>44</v>
      </c>
      <c r="D41" s="130" t="s">
        <v>462</v>
      </c>
      <c r="E41" s="131"/>
      <c r="F41" s="132"/>
      <c r="H41" s="10"/>
      <c r="I41" s="13" t="s">
        <v>44</v>
      </c>
      <c r="J41" s="130" t="s">
        <v>462</v>
      </c>
      <c r="K41" s="131"/>
      <c r="L41" s="132"/>
      <c r="N41" s="10"/>
      <c r="O41" s="13" t="s">
        <v>44</v>
      </c>
      <c r="P41" s="130" t="s">
        <v>47</v>
      </c>
      <c r="Q41" s="131"/>
      <c r="R41" s="132"/>
      <c r="T41" s="10"/>
      <c r="U41" s="13" t="s">
        <v>44</v>
      </c>
      <c r="V41" s="130" t="s">
        <v>47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18"/>
      <c r="AI41" s="60"/>
    </row>
    <row r="42" spans="2:35" s="9" customFormat="1" ht="15.75" thickBot="1" x14ac:dyDescent="0.3">
      <c r="B42" s="10"/>
      <c r="C42" s="14" t="s">
        <v>45</v>
      </c>
      <c r="D42" s="128" t="s">
        <v>463</v>
      </c>
      <c r="E42" s="128"/>
      <c r="F42" s="129"/>
      <c r="H42" s="10"/>
      <c r="I42" s="14" t="s">
        <v>45</v>
      </c>
      <c r="J42" s="128" t="s">
        <v>463</v>
      </c>
      <c r="K42" s="128"/>
      <c r="L42" s="129"/>
      <c r="N42" s="10"/>
      <c r="O42" s="14" t="s">
        <v>45</v>
      </c>
      <c r="P42" s="128" t="s">
        <v>46</v>
      </c>
      <c r="Q42" s="128"/>
      <c r="R42" s="129"/>
      <c r="T42" s="10"/>
      <c r="U42" s="14" t="s">
        <v>45</v>
      </c>
      <c r="V42" s="128" t="s">
        <v>46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18"/>
      <c r="AI42" s="60"/>
    </row>
    <row r="43" spans="2:35" s="9" customFormat="1" x14ac:dyDescent="0.25">
      <c r="B43" s="10"/>
      <c r="D43" s="11"/>
      <c r="AF43" s="18"/>
      <c r="AI43" s="60"/>
    </row>
    <row r="44" spans="2:35" s="9" customFormat="1" x14ac:dyDescent="0.25">
      <c r="B44" s="10"/>
      <c r="D44" s="11"/>
      <c r="AF44" s="18"/>
      <c r="AI44" s="60"/>
    </row>
    <row r="45" spans="2:35" s="9" customFormat="1" x14ac:dyDescent="0.25">
      <c r="B45" s="10"/>
      <c r="D45" s="11"/>
      <c r="AF45" s="18"/>
      <c r="AI45" s="60"/>
    </row>
    <row r="46" spans="2:35" s="9" customFormat="1" x14ac:dyDescent="0.25">
      <c r="B46" s="10"/>
      <c r="D46" s="11"/>
      <c r="AF46" s="18"/>
      <c r="AI46" s="60"/>
    </row>
    <row r="47" spans="2:35" s="9" customFormat="1" x14ac:dyDescent="0.25">
      <c r="B47" s="10"/>
      <c r="D47" s="11"/>
      <c r="AF47" s="18"/>
      <c r="AI47" s="60"/>
    </row>
    <row r="48" spans="2:35" s="9" customFormat="1" x14ac:dyDescent="0.25">
      <c r="B48" s="10"/>
      <c r="D48" s="11"/>
      <c r="AF48" s="18"/>
      <c r="AI48" s="60"/>
    </row>
    <row r="49" spans="2:35" s="9" customFormat="1" x14ac:dyDescent="0.25">
      <c r="B49" s="10"/>
      <c r="D49" s="11"/>
      <c r="AF49" s="18"/>
      <c r="AI49" s="60"/>
    </row>
    <row r="50" spans="2:35" s="9" customFormat="1" x14ac:dyDescent="0.25">
      <c r="B50" s="10"/>
      <c r="D50" s="11"/>
      <c r="AF50" s="18"/>
      <c r="AI50" s="60"/>
    </row>
    <row r="51" spans="2:35" s="9" customFormat="1" x14ac:dyDescent="0.25">
      <c r="B51" s="10"/>
      <c r="D51" s="11"/>
      <c r="AF51" s="18"/>
      <c r="AI51" s="60"/>
    </row>
    <row r="52" spans="2:35" s="9" customFormat="1" x14ac:dyDescent="0.25">
      <c r="B52" s="10"/>
      <c r="D52" s="11"/>
      <c r="AF52" s="18"/>
      <c r="AI52" s="60"/>
    </row>
    <row r="53" spans="2:35" s="9" customFormat="1" x14ac:dyDescent="0.25">
      <c r="B53" s="10"/>
      <c r="D53" s="11"/>
      <c r="AF53" s="18"/>
      <c r="AI53" s="60"/>
    </row>
    <row r="54" spans="2:35" s="9" customFormat="1" x14ac:dyDescent="0.25">
      <c r="B54" s="10"/>
      <c r="D54" s="11"/>
      <c r="AF54" s="18"/>
      <c r="AI54" s="60"/>
    </row>
    <row r="55" spans="2:35" s="9" customFormat="1" x14ac:dyDescent="0.25">
      <c r="B55" s="10"/>
      <c r="D55" s="11"/>
      <c r="AF55" s="18"/>
      <c r="AI55" s="60"/>
    </row>
    <row r="56" spans="2:35" s="9" customFormat="1" x14ac:dyDescent="0.25">
      <c r="B56" s="10"/>
      <c r="D56" s="11"/>
      <c r="AF56" s="18"/>
      <c r="AI56" s="60"/>
    </row>
    <row r="57" spans="2:35" s="9" customFormat="1" x14ac:dyDescent="0.25">
      <c r="B57" s="10"/>
      <c r="D57" s="11"/>
      <c r="AF57" s="18"/>
      <c r="AI57" s="60"/>
    </row>
    <row r="58" spans="2:35" s="9" customFormat="1" x14ac:dyDescent="0.25">
      <c r="B58" s="10"/>
      <c r="D58" s="11"/>
      <c r="AF58" s="18"/>
      <c r="AI58" s="60"/>
    </row>
    <row r="59" spans="2:35" s="9" customFormat="1" x14ac:dyDescent="0.25">
      <c r="B59" s="10"/>
      <c r="D59" s="11"/>
      <c r="AF59" s="18"/>
      <c r="AI59" s="60"/>
    </row>
    <row r="60" spans="2:35" s="9" customFormat="1" x14ac:dyDescent="0.25">
      <c r="B60" s="10"/>
      <c r="D60" s="11"/>
      <c r="AF60" s="18"/>
      <c r="AI60" s="60"/>
    </row>
    <row r="61" spans="2:35" s="9" customFormat="1" x14ac:dyDescent="0.25">
      <c r="B61" s="10"/>
      <c r="D61" s="11"/>
      <c r="AF61" s="18"/>
      <c r="AI61" s="60"/>
    </row>
    <row r="62" spans="2:35" s="9" customFormat="1" x14ac:dyDescent="0.25">
      <c r="B62" s="10"/>
      <c r="D62" s="11"/>
      <c r="AF62" s="18"/>
      <c r="AI62" s="60"/>
    </row>
    <row r="63" spans="2:35" s="9" customFormat="1" x14ac:dyDescent="0.25">
      <c r="B63" s="10"/>
      <c r="D63" s="11"/>
      <c r="AF63" s="18"/>
      <c r="AI63" s="60"/>
    </row>
    <row r="64" spans="2:35" s="9" customFormat="1" x14ac:dyDescent="0.25">
      <c r="B64" s="10"/>
      <c r="D64" s="11"/>
      <c r="AF64" s="18"/>
      <c r="AI64" s="60"/>
    </row>
    <row r="65" spans="2:35" s="9" customFormat="1" x14ac:dyDescent="0.25">
      <c r="B65" s="10"/>
      <c r="D65" s="11"/>
      <c r="AF65" s="18"/>
      <c r="AI65" s="60"/>
    </row>
    <row r="66" spans="2:35" s="9" customFormat="1" x14ac:dyDescent="0.25">
      <c r="B66" s="10"/>
      <c r="D66" s="11"/>
      <c r="AF66" s="18"/>
      <c r="AI66" s="60"/>
    </row>
    <row r="67" spans="2:35" s="9" customFormat="1" x14ac:dyDescent="0.25">
      <c r="B67" s="10"/>
      <c r="D67" s="11"/>
      <c r="AF67" s="18"/>
      <c r="AI67" s="60"/>
    </row>
    <row r="68" spans="2:35" s="9" customFormat="1" x14ac:dyDescent="0.25">
      <c r="B68" s="10"/>
      <c r="D68" s="11"/>
      <c r="AF68" s="18"/>
      <c r="AI68" s="60"/>
    </row>
    <row r="69" spans="2:35" s="9" customFormat="1" x14ac:dyDescent="0.25">
      <c r="B69" s="10"/>
      <c r="D69" s="11"/>
      <c r="AF69" s="18"/>
      <c r="AI69" s="60"/>
    </row>
    <row r="70" spans="2:35" s="9" customFormat="1" x14ac:dyDescent="0.25">
      <c r="B70" s="10"/>
      <c r="D70" s="11"/>
      <c r="AF70" s="18"/>
      <c r="AI70" s="60"/>
    </row>
    <row r="71" spans="2:35" s="9" customFormat="1" x14ac:dyDescent="0.25">
      <c r="B71" s="10"/>
      <c r="D71" s="11"/>
      <c r="AF71" s="18"/>
      <c r="AI71" s="60"/>
    </row>
    <row r="72" spans="2:35" s="9" customFormat="1" x14ac:dyDescent="0.25">
      <c r="B72" s="10"/>
      <c r="D72" s="11"/>
      <c r="AF72" s="18"/>
      <c r="AI72" s="60"/>
    </row>
    <row r="73" spans="2:35" s="9" customFormat="1" x14ac:dyDescent="0.25">
      <c r="B73" s="10"/>
      <c r="D73" s="11"/>
      <c r="AF73" s="18"/>
      <c r="AI73" s="60"/>
    </row>
    <row r="74" spans="2:35" s="9" customFormat="1" x14ac:dyDescent="0.25">
      <c r="B74" s="10"/>
      <c r="D74" s="11"/>
      <c r="AF74" s="18"/>
      <c r="AI74" s="60"/>
    </row>
    <row r="75" spans="2:35" s="9" customFormat="1" x14ac:dyDescent="0.25">
      <c r="B75" s="10"/>
      <c r="D75" s="11"/>
      <c r="AF75" s="18"/>
      <c r="AI75" s="60"/>
    </row>
    <row r="76" spans="2:35" s="9" customFormat="1" x14ac:dyDescent="0.25">
      <c r="B76" s="10"/>
      <c r="D76" s="11"/>
      <c r="AF76" s="18"/>
      <c r="AI76" s="60"/>
    </row>
    <row r="77" spans="2:35" s="9" customFormat="1" x14ac:dyDescent="0.25">
      <c r="B77" s="10"/>
      <c r="D77" s="11"/>
      <c r="AF77" s="18"/>
      <c r="AI77" s="60"/>
    </row>
    <row r="78" spans="2:35" s="9" customFormat="1" x14ac:dyDescent="0.25">
      <c r="B78" s="10"/>
      <c r="D78" s="11"/>
      <c r="AF78" s="18"/>
      <c r="AI78" s="60"/>
    </row>
    <row r="79" spans="2:35" s="9" customFormat="1" x14ac:dyDescent="0.25">
      <c r="B79" s="10"/>
      <c r="D79" s="11"/>
      <c r="AF79" s="18"/>
      <c r="AI79" s="60"/>
    </row>
    <row r="80" spans="2:35" s="9" customFormat="1" x14ac:dyDescent="0.25">
      <c r="B80" s="10"/>
      <c r="D80" s="11"/>
      <c r="AF80" s="18"/>
      <c r="AI80" s="60"/>
    </row>
    <row r="81" spans="2:35" s="9" customFormat="1" x14ac:dyDescent="0.25">
      <c r="B81" s="10"/>
      <c r="D81" s="11"/>
      <c r="AF81" s="18"/>
      <c r="AI81" s="60"/>
    </row>
    <row r="82" spans="2:35" s="9" customFormat="1" x14ac:dyDescent="0.25">
      <c r="B82" s="10"/>
      <c r="D82" s="11"/>
      <c r="AF82" s="18"/>
      <c r="AI82" s="60"/>
    </row>
    <row r="83" spans="2:35" s="9" customFormat="1" x14ac:dyDescent="0.25">
      <c r="B83" s="10"/>
      <c r="D83" s="11"/>
      <c r="AF83" s="18"/>
      <c r="AI83" s="60"/>
    </row>
    <row r="84" spans="2:35" s="9" customFormat="1" x14ac:dyDescent="0.25">
      <c r="B84" s="10"/>
      <c r="D84" s="11"/>
      <c r="AF84" s="18"/>
      <c r="AI84" s="60"/>
    </row>
    <row r="85" spans="2:35" s="9" customFormat="1" x14ac:dyDescent="0.25">
      <c r="B85" s="10"/>
      <c r="D85" s="11"/>
      <c r="AF85" s="18"/>
      <c r="AI85" s="60"/>
    </row>
    <row r="86" spans="2:35" s="9" customFormat="1" x14ac:dyDescent="0.25">
      <c r="B86" s="10"/>
      <c r="D86" s="11"/>
      <c r="AF86" s="18"/>
      <c r="AI86" s="60"/>
    </row>
    <row r="87" spans="2:35" s="9" customFormat="1" x14ac:dyDescent="0.25">
      <c r="B87" s="10"/>
      <c r="D87" s="11"/>
      <c r="AF87" s="18"/>
      <c r="AI87" s="60"/>
    </row>
    <row r="88" spans="2:35" s="9" customFormat="1" x14ac:dyDescent="0.25">
      <c r="B88" s="10"/>
      <c r="D88" s="11"/>
      <c r="AF88" s="18"/>
      <c r="AI88" s="60"/>
    </row>
    <row r="89" spans="2:35" s="9" customFormat="1" x14ac:dyDescent="0.25">
      <c r="B89" s="10"/>
      <c r="D89" s="11"/>
      <c r="AF89" s="18"/>
      <c r="AI89" s="60"/>
    </row>
    <row r="90" spans="2:35" s="9" customFormat="1" x14ac:dyDescent="0.25">
      <c r="B90" s="10"/>
      <c r="D90" s="11"/>
      <c r="AF90" s="18"/>
      <c r="AI90" s="60"/>
    </row>
    <row r="91" spans="2:35" s="9" customFormat="1" x14ac:dyDescent="0.25">
      <c r="B91" s="10"/>
      <c r="D91" s="11"/>
      <c r="AF91" s="18"/>
      <c r="AI91" s="60"/>
    </row>
    <row r="92" spans="2:35" s="9" customFormat="1" x14ac:dyDescent="0.25">
      <c r="B92" s="10"/>
      <c r="D92" s="11"/>
      <c r="AF92" s="18"/>
      <c r="AI92" s="60"/>
    </row>
    <row r="93" spans="2:35" s="9" customFormat="1" x14ac:dyDescent="0.25">
      <c r="B93" s="10"/>
      <c r="D93" s="11"/>
      <c r="AF93" s="18"/>
      <c r="AI93" s="60"/>
    </row>
    <row r="94" spans="2:35" s="9" customFormat="1" x14ac:dyDescent="0.25">
      <c r="B94" s="10"/>
      <c r="D94" s="11"/>
      <c r="AF94" s="18"/>
      <c r="AI94" s="60"/>
    </row>
    <row r="95" spans="2:35" s="9" customFormat="1" x14ac:dyDescent="0.25">
      <c r="B95" s="10"/>
      <c r="D95" s="11"/>
      <c r="AF95" s="18"/>
      <c r="AI95" s="60"/>
    </row>
    <row r="96" spans="2:35" s="9" customFormat="1" x14ac:dyDescent="0.25">
      <c r="B96" s="10"/>
      <c r="D96" s="11"/>
      <c r="AF96" s="18"/>
      <c r="AI96" s="60"/>
    </row>
    <row r="97" spans="2:35" s="9" customFormat="1" x14ac:dyDescent="0.25">
      <c r="B97" s="10"/>
      <c r="D97" s="11"/>
      <c r="AF97" s="18"/>
      <c r="AI97" s="60"/>
    </row>
    <row r="98" spans="2:35" s="9" customFormat="1" x14ac:dyDescent="0.25">
      <c r="B98" s="10"/>
      <c r="D98" s="11"/>
      <c r="AF98" s="18"/>
      <c r="AI98" s="60"/>
    </row>
    <row r="99" spans="2:35" s="9" customFormat="1" x14ac:dyDescent="0.25">
      <c r="B99" s="10"/>
      <c r="D99" s="11"/>
      <c r="AF99" s="18"/>
      <c r="AI99" s="60"/>
    </row>
    <row r="100" spans="2:35" s="9" customFormat="1" x14ac:dyDescent="0.25">
      <c r="B100" s="10"/>
      <c r="D100" s="11"/>
      <c r="AF100" s="18"/>
      <c r="AI100" s="60"/>
    </row>
    <row r="101" spans="2:35" s="9" customFormat="1" x14ac:dyDescent="0.25">
      <c r="B101" s="10"/>
      <c r="D101" s="11"/>
      <c r="AF101" s="18"/>
      <c r="AI101" s="60"/>
    </row>
    <row r="102" spans="2:35" s="9" customFormat="1" x14ac:dyDescent="0.25">
      <c r="B102" s="10"/>
      <c r="D102" s="11"/>
      <c r="AF102" s="18"/>
      <c r="AI102" s="60"/>
    </row>
    <row r="103" spans="2:35" s="9" customFormat="1" x14ac:dyDescent="0.25">
      <c r="B103" s="10"/>
      <c r="D103" s="11"/>
      <c r="AF103" s="18"/>
      <c r="AI103" s="60"/>
    </row>
    <row r="104" spans="2:35" s="9" customFormat="1" x14ac:dyDescent="0.25">
      <c r="B104" s="10"/>
      <c r="D104" s="11"/>
      <c r="AF104" s="18"/>
      <c r="AI104" s="60"/>
    </row>
    <row r="105" spans="2:35" s="9" customFormat="1" x14ac:dyDescent="0.25">
      <c r="B105" s="10"/>
      <c r="D105" s="11"/>
      <c r="AF105" s="18"/>
      <c r="AI105" s="60"/>
    </row>
    <row r="106" spans="2:35" s="9" customFormat="1" x14ac:dyDescent="0.25">
      <c r="B106" s="10"/>
      <c r="D106" s="11"/>
      <c r="AF106" s="18"/>
      <c r="AI106" s="60"/>
    </row>
    <row r="107" spans="2:35" s="9" customFormat="1" x14ac:dyDescent="0.25">
      <c r="B107" s="10"/>
      <c r="D107" s="11"/>
      <c r="AF107" s="18"/>
      <c r="AI107" s="60"/>
    </row>
    <row r="108" spans="2:35" s="9" customFormat="1" x14ac:dyDescent="0.25">
      <c r="B108" s="10"/>
      <c r="D108" s="11"/>
      <c r="AF108" s="18"/>
      <c r="AI108" s="60"/>
    </row>
    <row r="109" spans="2:35" s="9" customFormat="1" x14ac:dyDescent="0.25">
      <c r="B109" s="10"/>
      <c r="D109" s="11"/>
      <c r="AF109" s="18"/>
      <c r="AI109" s="60"/>
    </row>
    <row r="110" spans="2:35" s="9" customFormat="1" x14ac:dyDescent="0.25">
      <c r="B110" s="10"/>
      <c r="D110" s="11"/>
      <c r="AF110" s="18"/>
      <c r="AI110" s="60"/>
    </row>
    <row r="111" spans="2:35" s="9" customFormat="1" x14ac:dyDescent="0.25">
      <c r="B111" s="10"/>
      <c r="D111" s="11"/>
      <c r="AF111" s="18"/>
      <c r="AI111" s="60"/>
    </row>
    <row r="112" spans="2:35" s="9" customFormat="1" x14ac:dyDescent="0.25">
      <c r="B112" s="10"/>
      <c r="D112" s="11"/>
      <c r="AF112" s="18"/>
      <c r="AI112" s="60"/>
    </row>
    <row r="113" spans="2:35" s="9" customFormat="1" x14ac:dyDescent="0.25">
      <c r="B113" s="10"/>
      <c r="D113" s="11"/>
      <c r="AF113" s="18"/>
      <c r="AI113" s="60"/>
    </row>
    <row r="114" spans="2:35" s="9" customFormat="1" x14ac:dyDescent="0.25">
      <c r="B114" s="10"/>
      <c r="D114" s="11"/>
      <c r="AF114" s="18"/>
      <c r="AI114" s="60"/>
    </row>
    <row r="115" spans="2:35" s="9" customFormat="1" x14ac:dyDescent="0.25">
      <c r="B115" s="10"/>
      <c r="D115" s="11"/>
      <c r="AF115" s="18"/>
      <c r="AI115" s="60"/>
    </row>
    <row r="116" spans="2:35" s="9" customFormat="1" x14ac:dyDescent="0.25">
      <c r="B116" s="10"/>
      <c r="D116" s="11"/>
      <c r="AF116" s="18"/>
      <c r="AI116" s="60"/>
    </row>
    <row r="117" spans="2:35" s="9" customFormat="1" x14ac:dyDescent="0.25">
      <c r="B117" s="10"/>
      <c r="D117" s="11"/>
      <c r="AF117" s="18"/>
      <c r="AI117" s="60"/>
    </row>
    <row r="118" spans="2:35" s="9" customFormat="1" x14ac:dyDescent="0.25">
      <c r="B118" s="10"/>
      <c r="D118" s="11"/>
      <c r="AF118" s="18"/>
      <c r="AI118" s="60"/>
    </row>
    <row r="119" spans="2:35" s="9" customFormat="1" x14ac:dyDescent="0.25">
      <c r="B119" s="10"/>
      <c r="D119" s="11"/>
      <c r="AF119" s="18"/>
      <c r="AI119" s="60"/>
    </row>
    <row r="120" spans="2:35" s="9" customFormat="1" x14ac:dyDescent="0.25">
      <c r="B120" s="10"/>
      <c r="D120" s="11"/>
      <c r="AF120" s="18"/>
      <c r="AI120" s="60"/>
    </row>
    <row r="121" spans="2:35" s="9" customFormat="1" x14ac:dyDescent="0.25">
      <c r="B121" s="10"/>
      <c r="D121" s="11"/>
      <c r="AF121" s="18"/>
      <c r="AI121" s="60"/>
    </row>
    <row r="122" spans="2:35" s="9" customFormat="1" x14ac:dyDescent="0.25">
      <c r="B122" s="10"/>
      <c r="D122" s="11"/>
      <c r="AF122" s="18"/>
      <c r="AI122" s="60"/>
    </row>
    <row r="123" spans="2:35" s="9" customFormat="1" x14ac:dyDescent="0.25">
      <c r="B123" s="10"/>
      <c r="D123" s="11"/>
      <c r="AF123" s="18"/>
      <c r="AI123" s="60"/>
    </row>
    <row r="124" spans="2:35" s="9" customFormat="1" x14ac:dyDescent="0.25">
      <c r="B124" s="10"/>
      <c r="D124" s="11"/>
      <c r="AF124" s="18"/>
      <c r="AI124" s="60"/>
    </row>
    <row r="125" spans="2:35" s="9" customFormat="1" x14ac:dyDescent="0.25">
      <c r="B125" s="10"/>
      <c r="D125" s="11"/>
      <c r="AF125" s="18"/>
      <c r="AI125" s="60"/>
    </row>
    <row r="126" spans="2:35" s="9" customFormat="1" x14ac:dyDescent="0.25">
      <c r="B126" s="10"/>
      <c r="D126" s="11"/>
      <c r="AF126" s="18"/>
      <c r="AI126" s="60"/>
    </row>
    <row r="127" spans="2:35" s="9" customFormat="1" x14ac:dyDescent="0.25">
      <c r="B127" s="10"/>
      <c r="D127" s="11"/>
      <c r="AF127" s="18"/>
      <c r="AI127" s="60"/>
    </row>
    <row r="128" spans="2:35" s="9" customFormat="1" x14ac:dyDescent="0.25">
      <c r="B128" s="10"/>
      <c r="D128" s="11"/>
      <c r="AF128" s="18"/>
      <c r="AI128" s="60"/>
    </row>
    <row r="129" spans="2:35" s="9" customFormat="1" x14ac:dyDescent="0.25">
      <c r="B129" s="10"/>
      <c r="D129" s="11"/>
      <c r="AF129" s="18"/>
      <c r="AI129" s="60"/>
    </row>
    <row r="130" spans="2:35" s="9" customFormat="1" x14ac:dyDescent="0.25">
      <c r="B130" s="10"/>
      <c r="D130" s="11"/>
      <c r="AF130" s="18"/>
      <c r="AI130" s="60"/>
    </row>
    <row r="131" spans="2:35" s="9" customFormat="1" x14ac:dyDescent="0.25">
      <c r="B131" s="10"/>
      <c r="D131" s="11"/>
      <c r="AF131" s="18"/>
      <c r="AI131" s="60"/>
    </row>
    <row r="132" spans="2:35" s="9" customFormat="1" x14ac:dyDescent="0.25">
      <c r="B132" s="10"/>
      <c r="D132" s="11"/>
      <c r="AF132" s="18"/>
      <c r="AI132" s="60"/>
    </row>
    <row r="133" spans="2:35" s="9" customFormat="1" x14ac:dyDescent="0.25">
      <c r="B133" s="10"/>
      <c r="D133" s="11"/>
      <c r="AF133" s="18"/>
      <c r="AI133" s="60"/>
    </row>
    <row r="134" spans="2:35" s="9" customFormat="1" x14ac:dyDescent="0.25">
      <c r="B134" s="10"/>
      <c r="D134" s="11"/>
      <c r="AF134" s="18"/>
      <c r="AI134" s="60"/>
    </row>
    <row r="135" spans="2:35" s="9" customFormat="1" x14ac:dyDescent="0.25">
      <c r="B135" s="10"/>
      <c r="D135" s="11"/>
      <c r="AF135" s="18"/>
      <c r="AI135" s="60"/>
    </row>
    <row r="136" spans="2:35" s="9" customFormat="1" x14ac:dyDescent="0.25">
      <c r="B136" s="10"/>
      <c r="D136" s="11"/>
      <c r="AF136" s="18"/>
      <c r="AI136" s="60"/>
    </row>
    <row r="137" spans="2:35" s="9" customFormat="1" x14ac:dyDescent="0.25">
      <c r="B137" s="10"/>
      <c r="D137" s="11"/>
      <c r="AF137" s="18"/>
      <c r="AI137" s="60"/>
    </row>
    <row r="138" spans="2:35" s="9" customFormat="1" x14ac:dyDescent="0.25">
      <c r="B138" s="10"/>
      <c r="D138" s="11"/>
      <c r="AF138" s="18"/>
      <c r="AI138" s="60"/>
    </row>
    <row r="139" spans="2:35" s="9" customFormat="1" x14ac:dyDescent="0.25">
      <c r="B139" s="10"/>
      <c r="D139" s="11"/>
      <c r="AF139" s="18"/>
      <c r="AI139" s="60"/>
    </row>
    <row r="140" spans="2:35" s="9" customFormat="1" x14ac:dyDescent="0.25">
      <c r="B140" s="10"/>
      <c r="D140" s="11"/>
      <c r="AF140" s="18"/>
      <c r="AI140" s="60"/>
    </row>
    <row r="141" spans="2:35" s="9" customFormat="1" x14ac:dyDescent="0.25">
      <c r="B141" s="10"/>
      <c r="D141" s="11"/>
      <c r="AF141" s="18"/>
      <c r="AI141" s="60"/>
    </row>
    <row r="142" spans="2:35" s="9" customFormat="1" x14ac:dyDescent="0.25">
      <c r="B142" s="10"/>
      <c r="D142" s="11"/>
      <c r="AF142" s="18"/>
      <c r="AI142" s="60"/>
    </row>
    <row r="143" spans="2:35" s="9" customFormat="1" x14ac:dyDescent="0.25">
      <c r="B143" s="10"/>
      <c r="D143" s="11"/>
      <c r="AF143" s="18"/>
      <c r="AI143" s="60"/>
    </row>
    <row r="144" spans="2:35" s="9" customFormat="1" x14ac:dyDescent="0.25">
      <c r="B144" s="10"/>
      <c r="D144" s="11"/>
      <c r="AF144" s="18"/>
      <c r="AI144" s="60"/>
    </row>
    <row r="145" spans="2:35" s="9" customFormat="1" x14ac:dyDescent="0.25">
      <c r="B145" s="10"/>
      <c r="D145" s="11"/>
      <c r="AF145" s="18"/>
      <c r="AI145" s="60"/>
    </row>
    <row r="146" spans="2:35" s="9" customFormat="1" x14ac:dyDescent="0.25">
      <c r="B146" s="10"/>
      <c r="D146" s="11"/>
      <c r="AF146" s="18"/>
      <c r="AI146" s="60"/>
    </row>
    <row r="147" spans="2:35" s="9" customFormat="1" x14ac:dyDescent="0.25">
      <c r="B147" s="10"/>
      <c r="D147" s="11"/>
      <c r="AF147" s="18"/>
      <c r="AI147" s="60"/>
    </row>
    <row r="148" spans="2:35" s="9" customFormat="1" x14ac:dyDescent="0.25">
      <c r="B148" s="10"/>
      <c r="D148" s="11"/>
      <c r="AF148" s="18"/>
      <c r="AI148" s="60"/>
    </row>
    <row r="149" spans="2:35" s="9" customFormat="1" x14ac:dyDescent="0.25">
      <c r="B149" s="10"/>
      <c r="D149" s="11"/>
      <c r="AF149" s="18"/>
      <c r="AI149" s="60"/>
    </row>
    <row r="150" spans="2:35" s="9" customFormat="1" x14ac:dyDescent="0.25">
      <c r="B150" s="10"/>
      <c r="D150" s="11"/>
      <c r="AF150" s="18"/>
      <c r="AI150" s="60"/>
    </row>
    <row r="151" spans="2:35" s="9" customFormat="1" x14ac:dyDescent="0.25">
      <c r="B151" s="10"/>
      <c r="D151" s="11"/>
      <c r="AF151" s="18"/>
      <c r="AI151" s="60"/>
    </row>
    <row r="152" spans="2:35" s="9" customFormat="1" x14ac:dyDescent="0.25">
      <c r="B152" s="10"/>
      <c r="D152" s="11"/>
      <c r="AF152" s="18"/>
      <c r="AI152" s="60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H2:AI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9B6F-832D-467D-AF4A-FEE53C7B4180}">
  <sheetPr>
    <tabColor theme="5"/>
  </sheetPr>
  <dimension ref="A1:BH152"/>
  <sheetViews>
    <sheetView zoomScale="115" zoomScaleNormal="115" workbookViewId="0">
      <selection activeCell="AL9" sqref="AL9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6.7109375" style="9" customWidth="1"/>
    <col min="15" max="15" width="21.85546875" style="9" customWidth="1"/>
    <col min="16" max="16" width="7.42578125" style="9" customWidth="1"/>
    <col min="17" max="18" width="11.42578125" style="9" customWidth="1"/>
    <col min="19" max="19" width="4" style="9" customWidth="1"/>
    <col min="20" max="20" width="6.7109375" style="9" customWidth="1"/>
    <col min="21" max="21" width="21.85546875" style="9" customWidth="1"/>
    <col min="22" max="22" width="7.42578125" style="9" customWidth="1"/>
    <col min="23" max="24" width="11.42578125" style="9" customWidth="1"/>
    <col min="25" max="25" width="4.5703125" style="9" customWidth="1"/>
    <col min="26" max="26" width="6.7109375" style="9" hidden="1" customWidth="1"/>
    <col min="27" max="27" width="21.85546875" style="9" hidden="1" customWidth="1"/>
    <col min="28" max="30" width="11.42578125" style="9" hidden="1" customWidth="1"/>
    <col min="31" max="31" width="3.42578125" style="9" customWidth="1"/>
    <col min="32" max="32" width="0.85546875" style="18" customWidth="1"/>
    <col min="33" max="33" width="5.42578125" style="9" customWidth="1"/>
    <col min="34" max="34" width="24" style="9" customWidth="1"/>
    <col min="35" max="35" width="11.42578125" style="60"/>
    <col min="36" max="60" width="11.42578125" style="9"/>
  </cols>
  <sheetData>
    <row r="1" spans="1:60" s="9" customFormat="1" x14ac:dyDescent="0.25">
      <c r="B1" s="10"/>
      <c r="D1" s="11"/>
      <c r="AF1" s="18"/>
      <c r="AI1" s="60"/>
    </row>
    <row r="2" spans="1:60" s="9" customFormat="1" ht="28.5" customHeight="1" thickBot="1" x14ac:dyDescent="0.3">
      <c r="B2" s="10"/>
      <c r="D2" s="11"/>
      <c r="AF2" s="18"/>
      <c r="AH2" s="86" t="s">
        <v>53</v>
      </c>
      <c r="AI2" s="86"/>
      <c r="AJ2" s="26"/>
      <c r="AK2" s="26"/>
      <c r="AL2" s="26"/>
    </row>
    <row r="3" spans="1:60" ht="22.5" customHeight="1" thickBot="1" x14ac:dyDescent="0.3">
      <c r="C3" s="87" t="s">
        <v>553</v>
      </c>
      <c r="D3" s="88"/>
      <c r="E3" s="88"/>
      <c r="F3" s="89"/>
      <c r="H3" s="8"/>
      <c r="I3" s="87" t="s">
        <v>554</v>
      </c>
      <c r="J3" s="88"/>
      <c r="K3" s="88"/>
      <c r="L3" s="89"/>
      <c r="N3" s="8"/>
      <c r="O3" s="87" t="s">
        <v>555</v>
      </c>
      <c r="P3" s="88"/>
      <c r="Q3" s="88"/>
      <c r="R3" s="89"/>
      <c r="T3" s="8"/>
      <c r="U3" s="87" t="s">
        <v>556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H3" s="24"/>
      <c r="AI3" s="26"/>
      <c r="AJ3" s="24"/>
      <c r="AK3" s="24"/>
      <c r="AL3" s="24"/>
    </row>
    <row r="4" spans="1:60" s="32" customFormat="1" ht="15.75" customHeight="1" thickBot="1" x14ac:dyDescent="0.3">
      <c r="A4" s="29"/>
      <c r="B4" s="91" t="s">
        <v>9</v>
      </c>
      <c r="C4" s="27" t="s">
        <v>1</v>
      </c>
      <c r="D4" s="12">
        <v>0</v>
      </c>
      <c r="E4" s="94"/>
      <c r="F4" s="95"/>
      <c r="G4" s="29"/>
      <c r="H4" s="91" t="s">
        <v>9</v>
      </c>
      <c r="I4" s="27" t="s">
        <v>1</v>
      </c>
      <c r="J4" s="12">
        <v>0</v>
      </c>
      <c r="K4" s="94"/>
      <c r="L4" s="95"/>
      <c r="M4" s="29"/>
      <c r="N4" s="91" t="s">
        <v>9</v>
      </c>
      <c r="O4" s="27" t="s">
        <v>1</v>
      </c>
      <c r="P4" s="12">
        <v>0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1"/>
      <c r="AG4" s="29"/>
      <c r="AH4" s="28" t="s">
        <v>1</v>
      </c>
      <c r="AI4" s="25">
        <f>J4+P4+V4</f>
        <v>0</v>
      </c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</row>
    <row r="5" spans="1:60" ht="15.75" customHeight="1" x14ac:dyDescent="0.25">
      <c r="B5" s="92"/>
      <c r="C5" s="6" t="s">
        <v>0</v>
      </c>
      <c r="D5" s="16">
        <v>0</v>
      </c>
      <c r="E5" s="96"/>
      <c r="F5" s="97"/>
      <c r="H5" s="92"/>
      <c r="I5" s="6" t="s">
        <v>0</v>
      </c>
      <c r="J5" s="16">
        <v>0</v>
      </c>
      <c r="K5" s="96"/>
      <c r="L5" s="97"/>
      <c r="N5" s="92"/>
      <c r="O5" s="6" t="s">
        <v>0</v>
      </c>
      <c r="P5" s="16">
        <v>0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H5" s="6" t="s">
        <v>0</v>
      </c>
      <c r="AI5" s="16">
        <f>J5+P5+V5</f>
        <v>0</v>
      </c>
    </row>
    <row r="6" spans="1:60" ht="15.75" customHeight="1" x14ac:dyDescent="0.25">
      <c r="B6" s="92"/>
      <c r="C6" s="2" t="s">
        <v>2</v>
      </c>
      <c r="D6" s="4">
        <v>0</v>
      </c>
      <c r="E6" s="96"/>
      <c r="F6" s="97"/>
      <c r="H6" s="92"/>
      <c r="I6" s="2" t="s">
        <v>2</v>
      </c>
      <c r="J6" s="4">
        <v>0</v>
      </c>
      <c r="K6" s="96"/>
      <c r="L6" s="97"/>
      <c r="N6" s="92"/>
      <c r="O6" s="2" t="s">
        <v>2</v>
      </c>
      <c r="P6" s="4">
        <v>0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H6" s="2" t="s">
        <v>2</v>
      </c>
      <c r="AI6" s="4">
        <f t="shared" ref="AI6:AI15" si="0">+J6+P6+V6</f>
        <v>0</v>
      </c>
    </row>
    <row r="7" spans="1:60" x14ac:dyDescent="0.25">
      <c r="B7" s="92"/>
      <c r="C7" s="2" t="s">
        <v>3</v>
      </c>
      <c r="D7" s="4">
        <v>0</v>
      </c>
      <c r="E7" s="96"/>
      <c r="F7" s="97"/>
      <c r="H7" s="92"/>
      <c r="I7" s="2" t="s">
        <v>3</v>
      </c>
      <c r="J7" s="4">
        <v>0</v>
      </c>
      <c r="K7" s="96"/>
      <c r="L7" s="97"/>
      <c r="N7" s="92"/>
      <c r="O7" s="2" t="s">
        <v>3</v>
      </c>
      <c r="P7" s="4">
        <v>0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H7" s="2" t="s">
        <v>3</v>
      </c>
      <c r="AI7" s="4">
        <f t="shared" si="0"/>
        <v>0</v>
      </c>
    </row>
    <row r="8" spans="1:60" x14ac:dyDescent="0.25">
      <c r="B8" s="92"/>
      <c r="C8" s="2" t="s">
        <v>4</v>
      </c>
      <c r="D8" s="4">
        <v>0</v>
      </c>
      <c r="E8" s="96"/>
      <c r="F8" s="97"/>
      <c r="H8" s="92"/>
      <c r="I8" s="2" t="s">
        <v>4</v>
      </c>
      <c r="J8" s="4">
        <v>0</v>
      </c>
      <c r="K8" s="96"/>
      <c r="L8" s="97"/>
      <c r="N8" s="92"/>
      <c r="O8" s="2" t="s">
        <v>4</v>
      </c>
      <c r="P8" s="4">
        <v>0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H8" s="2" t="s">
        <v>4</v>
      </c>
      <c r="AI8" s="4">
        <f t="shared" si="0"/>
        <v>0</v>
      </c>
    </row>
    <row r="9" spans="1:60" x14ac:dyDescent="0.25">
      <c r="B9" s="92"/>
      <c r="C9" s="2" t="s">
        <v>5</v>
      </c>
      <c r="D9" s="4">
        <v>0</v>
      </c>
      <c r="E9" s="96"/>
      <c r="F9" s="97"/>
      <c r="H9" s="92"/>
      <c r="I9" s="2" t="s">
        <v>5</v>
      </c>
      <c r="J9" s="4">
        <v>0</v>
      </c>
      <c r="K9" s="96"/>
      <c r="L9" s="97"/>
      <c r="N9" s="92"/>
      <c r="O9" s="2" t="s">
        <v>5</v>
      </c>
      <c r="P9" s="4">
        <v>0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H9" s="2" t="s">
        <v>5</v>
      </c>
      <c r="AI9" s="4">
        <f t="shared" si="0"/>
        <v>0</v>
      </c>
    </row>
    <row r="10" spans="1:60" ht="15.75" thickBot="1" x14ac:dyDescent="0.3">
      <c r="B10" s="92"/>
      <c r="C10" s="7" t="s">
        <v>6</v>
      </c>
      <c r="D10" s="15">
        <v>0</v>
      </c>
      <c r="E10" s="96"/>
      <c r="F10" s="97"/>
      <c r="H10" s="92"/>
      <c r="I10" s="7" t="s">
        <v>6</v>
      </c>
      <c r="J10" s="15">
        <v>0</v>
      </c>
      <c r="K10" s="96"/>
      <c r="L10" s="97"/>
      <c r="N10" s="92"/>
      <c r="O10" s="7" t="s">
        <v>6</v>
      </c>
      <c r="P10" s="15">
        <v>0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H10" s="7" t="s">
        <v>6</v>
      </c>
      <c r="AI10" s="15">
        <f t="shared" si="0"/>
        <v>0</v>
      </c>
    </row>
    <row r="11" spans="1:60" ht="15.75" thickBot="1" x14ac:dyDescent="0.3">
      <c r="B11" s="92"/>
      <c r="C11" s="2" t="s">
        <v>7</v>
      </c>
      <c r="D11" s="4">
        <v>0</v>
      </c>
      <c r="E11" s="98" t="s">
        <v>33</v>
      </c>
      <c r="F11" s="99"/>
      <c r="H11" s="92"/>
      <c r="I11" s="2" t="s">
        <v>7</v>
      </c>
      <c r="J11" s="4">
        <v>0</v>
      </c>
      <c r="K11" s="98" t="s">
        <v>33</v>
      </c>
      <c r="L11" s="99"/>
      <c r="N11" s="92"/>
      <c r="O11" s="2" t="s">
        <v>7</v>
      </c>
      <c r="P11" s="4">
        <v>0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H11" s="2" t="s">
        <v>7</v>
      </c>
      <c r="AI11" s="4">
        <f t="shared" si="0"/>
        <v>0</v>
      </c>
    </row>
    <row r="12" spans="1:60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H12" s="2" t="s">
        <v>49</v>
      </c>
      <c r="AI12" s="4">
        <f t="shared" si="0"/>
        <v>0</v>
      </c>
    </row>
    <row r="13" spans="1:60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H13" s="2" t="s">
        <v>50</v>
      </c>
      <c r="AI13" s="4">
        <f t="shared" si="0"/>
        <v>0</v>
      </c>
    </row>
    <row r="14" spans="1:60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H14" s="2" t="s">
        <v>51</v>
      </c>
      <c r="AI14" s="4">
        <f t="shared" si="0"/>
        <v>0</v>
      </c>
    </row>
    <row r="15" spans="1:60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H15" s="3" t="s">
        <v>52</v>
      </c>
      <c r="AI15" s="5">
        <f t="shared" si="0"/>
        <v>0</v>
      </c>
    </row>
    <row r="16" spans="1:60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F16" s="18"/>
      <c r="AI16" s="60"/>
    </row>
    <row r="17" spans="2:35" x14ac:dyDescent="0.25">
      <c r="B17" s="104" t="s">
        <v>28</v>
      </c>
      <c r="C17" s="6" t="s">
        <v>10</v>
      </c>
      <c r="D17" s="107" t="s">
        <v>70</v>
      </c>
      <c r="E17" s="108"/>
      <c r="F17" s="9"/>
      <c r="H17" s="104" t="s">
        <v>28</v>
      </c>
      <c r="I17" s="6" t="s">
        <v>10</v>
      </c>
      <c r="J17" s="107" t="s">
        <v>73</v>
      </c>
      <c r="K17" s="108"/>
      <c r="N17" s="104" t="s">
        <v>28</v>
      </c>
      <c r="O17" s="6" t="s">
        <v>10</v>
      </c>
      <c r="P17" s="107" t="s">
        <v>73</v>
      </c>
      <c r="Q17" s="108"/>
      <c r="T17" s="104" t="s">
        <v>28</v>
      </c>
      <c r="U17" s="6" t="s">
        <v>10</v>
      </c>
      <c r="V17" s="107" t="s">
        <v>73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5" ht="15.75" thickBot="1" x14ac:dyDescent="0.3">
      <c r="B18" s="105"/>
      <c r="C18" s="2" t="s">
        <v>11</v>
      </c>
      <c r="D18" s="100" t="s">
        <v>101</v>
      </c>
      <c r="E18" s="101"/>
      <c r="F18" s="9"/>
      <c r="H18" s="105"/>
      <c r="I18" s="2" t="s">
        <v>11</v>
      </c>
      <c r="J18" s="100" t="s">
        <v>101</v>
      </c>
      <c r="K18" s="101"/>
      <c r="N18" s="105"/>
      <c r="O18" s="2" t="s">
        <v>11</v>
      </c>
      <c r="P18" s="100" t="s">
        <v>101</v>
      </c>
      <c r="Q18" s="101"/>
      <c r="T18" s="105"/>
      <c r="U18" s="2" t="s">
        <v>11</v>
      </c>
      <c r="V18" s="100" t="s">
        <v>101</v>
      </c>
      <c r="W18" s="101"/>
      <c r="Z18" s="105"/>
      <c r="AA18" s="2" t="s">
        <v>11</v>
      </c>
      <c r="AB18" s="100" t="s">
        <v>35</v>
      </c>
      <c r="AC18" s="101"/>
    </row>
    <row r="19" spans="2:35" ht="15.75" thickBot="1" x14ac:dyDescent="0.3">
      <c r="B19" s="105"/>
      <c r="C19" s="2" t="s">
        <v>12</v>
      </c>
      <c r="D19" s="100" t="s">
        <v>262</v>
      </c>
      <c r="E19" s="101"/>
      <c r="F19" s="9"/>
      <c r="H19" s="105"/>
      <c r="I19" s="2" t="s">
        <v>12</v>
      </c>
      <c r="J19" s="100" t="s">
        <v>72</v>
      </c>
      <c r="K19" s="101"/>
      <c r="N19" s="105"/>
      <c r="O19" s="2" t="s">
        <v>12</v>
      </c>
      <c r="P19" s="100" t="s">
        <v>557</v>
      </c>
      <c r="Q19" s="101"/>
      <c r="T19" s="105"/>
      <c r="U19" s="2" t="s">
        <v>12</v>
      </c>
      <c r="V19" s="100" t="s">
        <v>558</v>
      </c>
      <c r="W19" s="101"/>
      <c r="Z19" s="105"/>
      <c r="AA19" s="2" t="s">
        <v>12</v>
      </c>
      <c r="AB19" s="100" t="s">
        <v>36</v>
      </c>
      <c r="AC19" s="101"/>
      <c r="AH19" s="51" t="s">
        <v>54</v>
      </c>
      <c r="AI19" s="52">
        <v>4</v>
      </c>
    </row>
    <row r="20" spans="2:35" ht="15.75" thickBot="1" x14ac:dyDescent="0.3">
      <c r="B20" s="106"/>
      <c r="C20" s="3" t="s">
        <v>13</v>
      </c>
      <c r="D20" s="102" t="s">
        <v>559</v>
      </c>
      <c r="E20" s="103"/>
      <c r="F20" s="9"/>
      <c r="H20" s="106"/>
      <c r="I20" s="3" t="s">
        <v>13</v>
      </c>
      <c r="J20" s="102" t="s">
        <v>560</v>
      </c>
      <c r="K20" s="103"/>
      <c r="N20" s="106"/>
      <c r="O20" s="3" t="s">
        <v>13</v>
      </c>
      <c r="P20" s="102" t="s">
        <v>561</v>
      </c>
      <c r="Q20" s="103"/>
      <c r="T20" s="106"/>
      <c r="U20" s="3" t="s">
        <v>13</v>
      </c>
      <c r="V20" s="152" t="s">
        <v>562</v>
      </c>
      <c r="W20" s="153"/>
      <c r="Z20" s="106"/>
      <c r="AA20" s="3" t="s">
        <v>13</v>
      </c>
      <c r="AB20" s="102" t="s">
        <v>36</v>
      </c>
      <c r="AC20" s="103"/>
      <c r="AH20" s="49" t="s">
        <v>55</v>
      </c>
      <c r="AI20" s="61">
        <v>0</v>
      </c>
    </row>
    <row r="21" spans="2:35" ht="15.75" thickBot="1" x14ac:dyDescent="0.3">
      <c r="B21" s="109" t="s">
        <v>29</v>
      </c>
      <c r="C21" s="6" t="s">
        <v>14</v>
      </c>
      <c r="D21" s="107" t="s">
        <v>563</v>
      </c>
      <c r="E21" s="108"/>
      <c r="F21" s="9"/>
      <c r="H21" s="109" t="s">
        <v>29</v>
      </c>
      <c r="I21" s="6" t="s">
        <v>14</v>
      </c>
      <c r="J21" s="107" t="s">
        <v>564</v>
      </c>
      <c r="K21" s="108"/>
      <c r="N21" s="109" t="s">
        <v>29</v>
      </c>
      <c r="O21" s="6" t="s">
        <v>14</v>
      </c>
      <c r="P21" s="107" t="s">
        <v>565</v>
      </c>
      <c r="Q21" s="108"/>
      <c r="T21" s="109" t="s">
        <v>29</v>
      </c>
      <c r="U21" s="6" t="s">
        <v>14</v>
      </c>
      <c r="V21" s="107" t="s">
        <v>566</v>
      </c>
      <c r="W21" s="108"/>
      <c r="Z21" s="109" t="s">
        <v>29</v>
      </c>
      <c r="AA21" s="6" t="s">
        <v>14</v>
      </c>
      <c r="AB21" s="107" t="s">
        <v>37</v>
      </c>
      <c r="AC21" s="108"/>
      <c r="AH21" s="47" t="s">
        <v>56</v>
      </c>
      <c r="AI21" s="62">
        <v>4</v>
      </c>
    </row>
    <row r="22" spans="2:35" x14ac:dyDescent="0.25">
      <c r="B22" s="110"/>
      <c r="C22" s="2" t="s">
        <v>15</v>
      </c>
      <c r="D22" s="100" t="s">
        <v>39</v>
      </c>
      <c r="E22" s="101"/>
      <c r="F22" s="9"/>
      <c r="H22" s="110"/>
      <c r="I22" s="2" t="s">
        <v>15</v>
      </c>
      <c r="J22" s="100" t="s">
        <v>38</v>
      </c>
      <c r="K22" s="101"/>
      <c r="N22" s="110"/>
      <c r="O22" s="2" t="s">
        <v>15</v>
      </c>
      <c r="P22" s="100" t="s">
        <v>38</v>
      </c>
      <c r="Q22" s="101"/>
      <c r="T22" s="110"/>
      <c r="U22" s="2" t="s">
        <v>15</v>
      </c>
      <c r="V22" s="100" t="s">
        <v>38</v>
      </c>
      <c r="W22" s="101"/>
      <c r="Z22" s="110"/>
      <c r="AA22" s="2" t="s">
        <v>15</v>
      </c>
      <c r="AB22" s="100" t="s">
        <v>38</v>
      </c>
      <c r="AC22" s="101"/>
    </row>
    <row r="23" spans="2:35" x14ac:dyDescent="0.25">
      <c r="B23" s="110"/>
      <c r="C23" s="2" t="s">
        <v>16</v>
      </c>
      <c r="D23" s="100">
        <v>4121783963</v>
      </c>
      <c r="E23" s="101"/>
      <c r="F23" s="9"/>
      <c r="H23" s="110"/>
      <c r="I23" s="2" t="s">
        <v>16</v>
      </c>
      <c r="J23" s="100">
        <v>4169863505</v>
      </c>
      <c r="K23" s="101"/>
      <c r="N23" s="110"/>
      <c r="O23" s="2" t="s">
        <v>16</v>
      </c>
      <c r="P23" s="100">
        <v>4129285800</v>
      </c>
      <c r="Q23" s="101"/>
      <c r="T23" s="110"/>
      <c r="U23" s="2" t="s">
        <v>16</v>
      </c>
      <c r="V23" s="100">
        <v>4242485989</v>
      </c>
      <c r="W23" s="101"/>
      <c r="Z23" s="110"/>
      <c r="AA23" s="2" t="s">
        <v>16</v>
      </c>
      <c r="AB23" s="100" t="s">
        <v>39</v>
      </c>
      <c r="AC23" s="101"/>
    </row>
    <row r="24" spans="2:35" ht="15.75" thickBot="1" x14ac:dyDescent="0.3">
      <c r="B24" s="111"/>
      <c r="C24" s="3" t="s">
        <v>17</v>
      </c>
      <c r="D24" s="102" t="s">
        <v>567</v>
      </c>
      <c r="E24" s="103"/>
      <c r="F24" s="9"/>
      <c r="H24" s="111"/>
      <c r="I24" s="3" t="s">
        <v>17</v>
      </c>
      <c r="J24" s="102" t="s">
        <v>568</v>
      </c>
      <c r="K24" s="103"/>
      <c r="N24" s="111"/>
      <c r="O24" s="3" t="s">
        <v>17</v>
      </c>
      <c r="P24" s="102" t="s">
        <v>569</v>
      </c>
      <c r="Q24" s="103"/>
      <c r="T24" s="111"/>
      <c r="U24" s="3" t="s">
        <v>17</v>
      </c>
      <c r="V24" s="102" t="s">
        <v>570</v>
      </c>
      <c r="W24" s="103"/>
      <c r="Z24" s="111"/>
      <c r="AA24" s="3" t="s">
        <v>17</v>
      </c>
      <c r="AB24" s="102" t="s">
        <v>40</v>
      </c>
      <c r="AC24" s="103"/>
    </row>
    <row r="25" spans="2:35" x14ac:dyDescent="0.25">
      <c r="B25" s="109" t="s">
        <v>30</v>
      </c>
      <c r="C25" s="6" t="s">
        <v>18</v>
      </c>
      <c r="D25" s="107" t="s">
        <v>571</v>
      </c>
      <c r="E25" s="108"/>
      <c r="F25" s="9"/>
      <c r="H25" s="109" t="s">
        <v>30</v>
      </c>
      <c r="I25" s="6" t="s">
        <v>18</v>
      </c>
      <c r="J25" s="107" t="s">
        <v>572</v>
      </c>
      <c r="K25" s="108"/>
      <c r="N25" s="109" t="s">
        <v>30</v>
      </c>
      <c r="O25" s="6" t="s">
        <v>18</v>
      </c>
      <c r="P25" s="107" t="s">
        <v>565</v>
      </c>
      <c r="Q25" s="108"/>
      <c r="T25" s="109" t="s">
        <v>30</v>
      </c>
      <c r="U25" s="6" t="s">
        <v>18</v>
      </c>
      <c r="V25" s="107" t="s">
        <v>573</v>
      </c>
      <c r="W25" s="108"/>
      <c r="Z25" s="109" t="s">
        <v>30</v>
      </c>
      <c r="AA25" s="6" t="s">
        <v>18</v>
      </c>
      <c r="AB25" s="107" t="s">
        <v>41</v>
      </c>
      <c r="AC25" s="108"/>
    </row>
    <row r="26" spans="2:35" x14ac:dyDescent="0.25">
      <c r="B26" s="110"/>
      <c r="C26" s="2" t="s">
        <v>15</v>
      </c>
      <c r="D26" s="100" t="s">
        <v>38</v>
      </c>
      <c r="E26" s="101"/>
      <c r="F26" s="9"/>
      <c r="H26" s="110"/>
      <c r="I26" s="2" t="s">
        <v>15</v>
      </c>
      <c r="J26" s="100" t="s">
        <v>38</v>
      </c>
      <c r="K26" s="101"/>
      <c r="N26" s="110"/>
      <c r="O26" s="2" t="s">
        <v>15</v>
      </c>
      <c r="P26" s="100" t="s">
        <v>38</v>
      </c>
      <c r="Q26" s="101"/>
      <c r="T26" s="110"/>
      <c r="U26" s="2" t="s">
        <v>15</v>
      </c>
      <c r="V26" s="100" t="s">
        <v>38</v>
      </c>
      <c r="W26" s="101"/>
      <c r="Z26" s="110"/>
      <c r="AA26" s="2" t="s">
        <v>15</v>
      </c>
      <c r="AB26" s="100" t="s">
        <v>38</v>
      </c>
      <c r="AC26" s="101"/>
    </row>
    <row r="27" spans="2:35" x14ac:dyDescent="0.25">
      <c r="B27" s="110"/>
      <c r="C27" s="2" t="s">
        <v>16</v>
      </c>
      <c r="D27" s="100">
        <v>4127190447</v>
      </c>
      <c r="E27" s="101"/>
      <c r="F27" s="9"/>
      <c r="H27" s="110"/>
      <c r="I27" s="2" t="s">
        <v>16</v>
      </c>
      <c r="J27" s="100">
        <v>4127302975</v>
      </c>
      <c r="K27" s="101"/>
      <c r="N27" s="110"/>
      <c r="O27" s="2" t="s">
        <v>16</v>
      </c>
      <c r="P27" s="100">
        <v>4129285800</v>
      </c>
      <c r="Q27" s="101"/>
      <c r="T27" s="110"/>
      <c r="U27" s="2" t="s">
        <v>16</v>
      </c>
      <c r="V27" s="100">
        <v>4141639484</v>
      </c>
      <c r="W27" s="101"/>
      <c r="Z27" s="110"/>
      <c r="AA27" s="2" t="s">
        <v>16</v>
      </c>
      <c r="AB27" s="100" t="s">
        <v>39</v>
      </c>
      <c r="AC27" s="101"/>
    </row>
    <row r="28" spans="2:35" x14ac:dyDescent="0.25">
      <c r="B28" s="110"/>
      <c r="C28" s="2" t="s">
        <v>19</v>
      </c>
      <c r="D28" s="100" t="s">
        <v>354</v>
      </c>
      <c r="E28" s="101"/>
      <c r="F28" s="9"/>
      <c r="H28" s="110"/>
      <c r="I28" s="2" t="s">
        <v>19</v>
      </c>
      <c r="J28" s="100" t="s">
        <v>354</v>
      </c>
      <c r="K28" s="101"/>
      <c r="N28" s="110"/>
      <c r="O28" s="2" t="s">
        <v>19</v>
      </c>
      <c r="P28" s="100" t="s">
        <v>354</v>
      </c>
      <c r="Q28" s="101"/>
      <c r="T28" s="110"/>
      <c r="U28" s="2" t="s">
        <v>19</v>
      </c>
      <c r="V28" s="100" t="s">
        <v>42</v>
      </c>
      <c r="W28" s="101"/>
      <c r="Z28" s="110"/>
      <c r="AA28" s="2" t="s">
        <v>19</v>
      </c>
      <c r="AB28" s="100" t="s">
        <v>42</v>
      </c>
      <c r="AC28" s="101"/>
    </row>
    <row r="29" spans="2:35" x14ac:dyDescent="0.25">
      <c r="B29" s="110"/>
      <c r="C29" s="2" t="s">
        <v>20</v>
      </c>
      <c r="D29" s="100" t="s">
        <v>574</v>
      </c>
      <c r="E29" s="101"/>
      <c r="F29" s="9"/>
      <c r="H29" s="110"/>
      <c r="I29" s="2" t="s">
        <v>20</v>
      </c>
      <c r="J29" s="100" t="s">
        <v>8</v>
      </c>
      <c r="K29" s="101"/>
      <c r="N29" s="110"/>
      <c r="O29" s="2" t="s">
        <v>20</v>
      </c>
      <c r="P29" s="100" t="s">
        <v>8</v>
      </c>
      <c r="Q29" s="101"/>
      <c r="T29" s="110"/>
      <c r="U29" s="2" t="s">
        <v>20</v>
      </c>
      <c r="V29" s="100" t="s">
        <v>8</v>
      </c>
      <c r="W29" s="101"/>
      <c r="Z29" s="110"/>
      <c r="AA29" s="2" t="s">
        <v>20</v>
      </c>
      <c r="AB29" s="100" t="s">
        <v>8</v>
      </c>
      <c r="AC29" s="101"/>
    </row>
    <row r="30" spans="2:35" ht="15.75" thickBot="1" x14ac:dyDescent="0.3">
      <c r="B30" s="111"/>
      <c r="C30" s="3" t="s">
        <v>21</v>
      </c>
      <c r="D30" s="102" t="s">
        <v>574</v>
      </c>
      <c r="E30" s="103"/>
      <c r="F30" s="9"/>
      <c r="H30" s="111"/>
      <c r="I30" s="3" t="s">
        <v>21</v>
      </c>
      <c r="J30" s="102" t="s">
        <v>8</v>
      </c>
      <c r="K30" s="103"/>
      <c r="N30" s="111"/>
      <c r="O30" s="3" t="s">
        <v>21</v>
      </c>
      <c r="P30" s="102" t="s">
        <v>8</v>
      </c>
      <c r="Q30" s="103"/>
      <c r="T30" s="111"/>
      <c r="U30" s="3" t="s">
        <v>21</v>
      </c>
      <c r="V30" s="102" t="s">
        <v>8</v>
      </c>
      <c r="W30" s="103"/>
      <c r="Z30" s="111"/>
      <c r="AA30" s="3" t="s">
        <v>21</v>
      </c>
      <c r="AB30" s="102" t="s">
        <v>8</v>
      </c>
      <c r="AC30" s="103"/>
    </row>
    <row r="31" spans="2:35" x14ac:dyDescent="0.25">
      <c r="B31" s="104" t="s">
        <v>32</v>
      </c>
      <c r="C31" s="6" t="s">
        <v>23</v>
      </c>
      <c r="D31" s="107" t="s">
        <v>88</v>
      </c>
      <c r="E31" s="108"/>
      <c r="F31" s="9"/>
      <c r="H31" s="104" t="s">
        <v>32</v>
      </c>
      <c r="I31" s="6" t="s">
        <v>23</v>
      </c>
      <c r="J31" s="107" t="s">
        <v>87</v>
      </c>
      <c r="K31" s="108"/>
      <c r="N31" s="104" t="s">
        <v>32</v>
      </c>
      <c r="O31" s="6" t="s">
        <v>23</v>
      </c>
      <c r="P31" s="107" t="s">
        <v>88</v>
      </c>
      <c r="Q31" s="108"/>
      <c r="T31" s="104" t="s">
        <v>32</v>
      </c>
      <c r="U31" s="6" t="s">
        <v>23</v>
      </c>
      <c r="V31" s="107" t="s">
        <v>88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5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88</v>
      </c>
      <c r="K32" s="113"/>
      <c r="N32" s="105"/>
      <c r="O32" s="2" t="s">
        <v>24</v>
      </c>
      <c r="P32" s="112" t="s">
        <v>88</v>
      </c>
      <c r="Q32" s="113"/>
      <c r="T32" s="105"/>
      <c r="U32" s="2" t="s">
        <v>24</v>
      </c>
      <c r="V32" s="112" t="s">
        <v>88</v>
      </c>
      <c r="W32" s="113"/>
      <c r="Z32" s="105"/>
      <c r="AA32" s="2" t="s">
        <v>24</v>
      </c>
      <c r="AB32" s="112" t="s">
        <v>22</v>
      </c>
      <c r="AC32" s="113"/>
    </row>
    <row r="33" spans="2:35" x14ac:dyDescent="0.25">
      <c r="B33" s="105"/>
      <c r="C33" s="2" t="s">
        <v>25</v>
      </c>
      <c r="D33" s="112" t="s">
        <v>88</v>
      </c>
      <c r="E33" s="113"/>
      <c r="F33" s="9"/>
      <c r="H33" s="105"/>
      <c r="I33" s="2" t="s">
        <v>25</v>
      </c>
      <c r="J33" s="112" t="s">
        <v>88</v>
      </c>
      <c r="K33" s="113"/>
      <c r="N33" s="105"/>
      <c r="O33" s="2" t="s">
        <v>25</v>
      </c>
      <c r="P33" s="112" t="s">
        <v>88</v>
      </c>
      <c r="Q33" s="113"/>
      <c r="T33" s="105"/>
      <c r="U33" s="2" t="s">
        <v>25</v>
      </c>
      <c r="V33" s="112" t="s">
        <v>88</v>
      </c>
      <c r="W33" s="113"/>
      <c r="Z33" s="105"/>
      <c r="AA33" s="2" t="s">
        <v>25</v>
      </c>
      <c r="AB33" s="112" t="s">
        <v>22</v>
      </c>
      <c r="AC33" s="113"/>
    </row>
    <row r="34" spans="2:35" ht="15.75" thickBot="1" x14ac:dyDescent="0.3">
      <c r="B34" s="105"/>
      <c r="C34" s="7" t="s">
        <v>26</v>
      </c>
      <c r="D34" s="114" t="s">
        <v>88</v>
      </c>
      <c r="E34" s="115"/>
      <c r="F34" s="9"/>
      <c r="H34" s="105"/>
      <c r="I34" s="7" t="s">
        <v>26</v>
      </c>
      <c r="J34" s="114" t="s">
        <v>88</v>
      </c>
      <c r="K34" s="115"/>
      <c r="N34" s="105"/>
      <c r="O34" s="7" t="s">
        <v>26</v>
      </c>
      <c r="P34" s="114" t="s">
        <v>88</v>
      </c>
      <c r="Q34" s="115"/>
      <c r="T34" s="105"/>
      <c r="U34" s="7" t="s">
        <v>26</v>
      </c>
      <c r="V34" s="114" t="s">
        <v>88</v>
      </c>
      <c r="W34" s="115"/>
      <c r="Z34" s="105"/>
      <c r="AA34" s="7" t="s">
        <v>26</v>
      </c>
      <c r="AB34" s="114" t="s">
        <v>22</v>
      </c>
      <c r="AC34" s="115"/>
    </row>
    <row r="35" spans="2:35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</row>
    <row r="36" spans="2:35" x14ac:dyDescent="0.25">
      <c r="B36" s="110"/>
      <c r="C36" s="119" t="s">
        <v>575</v>
      </c>
      <c r="D36" s="120"/>
      <c r="E36" s="120"/>
      <c r="F36" s="121"/>
      <c r="H36" s="110"/>
      <c r="I36" s="119" t="s">
        <v>576</v>
      </c>
      <c r="J36" s="120"/>
      <c r="K36" s="120"/>
      <c r="L36" s="121"/>
      <c r="N36" s="110"/>
      <c r="O36" s="119" t="s">
        <v>577</v>
      </c>
      <c r="P36" s="120"/>
      <c r="Q36" s="120"/>
      <c r="R36" s="121"/>
      <c r="T36" s="110"/>
      <c r="U36" s="119" t="s">
        <v>578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</row>
    <row r="37" spans="2:35" x14ac:dyDescent="0.25">
      <c r="B37" s="110"/>
      <c r="C37" s="122" t="s">
        <v>579</v>
      </c>
      <c r="D37" s="123"/>
      <c r="E37" s="123"/>
      <c r="F37" s="124"/>
      <c r="H37" s="110"/>
      <c r="I37" s="122" t="s">
        <v>578</v>
      </c>
      <c r="J37" s="123"/>
      <c r="K37" s="123"/>
      <c r="L37" s="124"/>
      <c r="N37" s="110"/>
      <c r="O37" s="122" t="s">
        <v>578</v>
      </c>
      <c r="P37" s="123"/>
      <c r="Q37" s="123"/>
      <c r="R37" s="124"/>
      <c r="T37" s="110"/>
      <c r="U37" s="122"/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</row>
    <row r="38" spans="2:35" x14ac:dyDescent="0.25">
      <c r="B38" s="110"/>
      <c r="C38" s="122"/>
      <c r="D38" s="123"/>
      <c r="E38" s="123"/>
      <c r="F38" s="124"/>
      <c r="H38" s="110"/>
      <c r="I38" s="122"/>
      <c r="J38" s="123"/>
      <c r="K38" s="123"/>
      <c r="L38" s="124"/>
      <c r="N38" s="110"/>
      <c r="O38" s="122"/>
      <c r="P38" s="123"/>
      <c r="Q38" s="123"/>
      <c r="R38" s="124"/>
      <c r="T38" s="110"/>
      <c r="U38" s="122"/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</row>
    <row r="39" spans="2:35" ht="15.75" thickBot="1" x14ac:dyDescent="0.3">
      <c r="B39" s="111"/>
      <c r="C39" s="125"/>
      <c r="D39" s="126"/>
      <c r="E39" s="126"/>
      <c r="F39" s="127"/>
      <c r="H39" s="111"/>
      <c r="I39" s="125"/>
      <c r="J39" s="126"/>
      <c r="K39" s="126"/>
      <c r="L39" s="127"/>
      <c r="N39" s="111"/>
      <c r="O39" s="125"/>
      <c r="P39" s="126"/>
      <c r="Q39" s="126"/>
      <c r="R39" s="127"/>
      <c r="T39" s="111"/>
      <c r="U39" s="125"/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</row>
    <row r="40" spans="2:35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F40" s="18"/>
      <c r="AI40" s="60"/>
    </row>
    <row r="41" spans="2:35" s="9" customFormat="1" x14ac:dyDescent="0.25">
      <c r="B41" s="10"/>
      <c r="C41" s="13" t="s">
        <v>44</v>
      </c>
      <c r="D41" s="130" t="s">
        <v>580</v>
      </c>
      <c r="E41" s="131"/>
      <c r="F41" s="132"/>
      <c r="H41" s="10"/>
      <c r="I41" s="13" t="s">
        <v>44</v>
      </c>
      <c r="J41" s="130" t="s">
        <v>580</v>
      </c>
      <c r="K41" s="131"/>
      <c r="L41" s="132"/>
      <c r="N41" s="10"/>
      <c r="O41" s="13" t="s">
        <v>44</v>
      </c>
      <c r="P41" s="130" t="s">
        <v>580</v>
      </c>
      <c r="Q41" s="131"/>
      <c r="R41" s="132"/>
      <c r="T41" s="10"/>
      <c r="U41" s="13" t="s">
        <v>44</v>
      </c>
      <c r="V41" s="130" t="s">
        <v>580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18"/>
      <c r="AI41" s="60"/>
    </row>
    <row r="42" spans="2:35" s="9" customFormat="1" ht="15.75" thickBot="1" x14ac:dyDescent="0.3">
      <c r="B42" s="10"/>
      <c r="C42" s="14" t="s">
        <v>45</v>
      </c>
      <c r="D42" s="128" t="s">
        <v>581</v>
      </c>
      <c r="E42" s="128"/>
      <c r="F42" s="129"/>
      <c r="H42" s="10"/>
      <c r="I42" s="14" t="s">
        <v>45</v>
      </c>
      <c r="J42" s="128" t="s">
        <v>581</v>
      </c>
      <c r="K42" s="128"/>
      <c r="L42" s="129"/>
      <c r="N42" s="10"/>
      <c r="O42" s="14" t="s">
        <v>45</v>
      </c>
      <c r="P42" s="128" t="s">
        <v>581</v>
      </c>
      <c r="Q42" s="128"/>
      <c r="R42" s="129"/>
      <c r="T42" s="10"/>
      <c r="U42" s="14" t="s">
        <v>45</v>
      </c>
      <c r="V42" s="128" t="s">
        <v>581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18"/>
      <c r="AI42" s="60"/>
    </row>
    <row r="43" spans="2:35" s="9" customFormat="1" x14ac:dyDescent="0.25">
      <c r="B43" s="10"/>
      <c r="D43" s="11"/>
      <c r="AF43" s="18"/>
      <c r="AI43" s="60"/>
    </row>
    <row r="44" spans="2:35" s="9" customFormat="1" x14ac:dyDescent="0.25">
      <c r="B44" s="10"/>
      <c r="D44" s="11"/>
      <c r="AF44" s="18"/>
      <c r="AI44" s="60"/>
    </row>
    <row r="45" spans="2:35" s="9" customFormat="1" x14ac:dyDescent="0.25">
      <c r="B45" s="10"/>
      <c r="D45" s="11"/>
      <c r="AF45" s="18"/>
      <c r="AI45" s="60"/>
    </row>
    <row r="46" spans="2:35" s="9" customFormat="1" x14ac:dyDescent="0.25">
      <c r="B46" s="10"/>
      <c r="D46" s="11"/>
      <c r="AF46" s="18"/>
      <c r="AI46" s="60"/>
    </row>
    <row r="47" spans="2:35" s="9" customFormat="1" x14ac:dyDescent="0.25">
      <c r="B47" s="10"/>
      <c r="D47" s="11"/>
      <c r="AF47" s="18"/>
      <c r="AI47" s="60"/>
    </row>
    <row r="48" spans="2:35" s="9" customFormat="1" x14ac:dyDescent="0.25">
      <c r="B48" s="10"/>
      <c r="D48" s="11"/>
      <c r="AF48" s="18"/>
      <c r="AI48" s="60"/>
    </row>
    <row r="49" spans="2:35" s="9" customFormat="1" x14ac:dyDescent="0.25">
      <c r="B49" s="10"/>
      <c r="D49" s="11"/>
      <c r="AF49" s="18"/>
      <c r="AI49" s="60"/>
    </row>
    <row r="50" spans="2:35" s="9" customFormat="1" x14ac:dyDescent="0.25">
      <c r="B50" s="10"/>
      <c r="D50" s="11"/>
      <c r="AF50" s="18"/>
      <c r="AI50" s="60"/>
    </row>
    <row r="51" spans="2:35" s="9" customFormat="1" x14ac:dyDescent="0.25">
      <c r="B51" s="10"/>
      <c r="D51" s="11"/>
      <c r="AF51" s="18"/>
      <c r="AI51" s="60"/>
    </row>
    <row r="52" spans="2:35" s="9" customFormat="1" x14ac:dyDescent="0.25">
      <c r="B52" s="10"/>
      <c r="D52" s="11"/>
      <c r="AF52" s="18"/>
      <c r="AI52" s="60"/>
    </row>
    <row r="53" spans="2:35" s="9" customFormat="1" x14ac:dyDescent="0.25">
      <c r="B53" s="10"/>
      <c r="D53" s="11"/>
      <c r="AF53" s="18"/>
      <c r="AI53" s="60"/>
    </row>
    <row r="54" spans="2:35" s="9" customFormat="1" x14ac:dyDescent="0.25">
      <c r="B54" s="10"/>
      <c r="D54" s="11"/>
      <c r="AF54" s="18"/>
      <c r="AI54" s="60"/>
    </row>
    <row r="55" spans="2:35" s="9" customFormat="1" x14ac:dyDescent="0.25">
      <c r="B55" s="10"/>
      <c r="D55" s="11"/>
      <c r="AF55" s="18"/>
      <c r="AI55" s="60"/>
    </row>
    <row r="56" spans="2:35" s="9" customFormat="1" x14ac:dyDescent="0.25">
      <c r="B56" s="10"/>
      <c r="D56" s="11"/>
      <c r="AF56" s="18"/>
      <c r="AI56" s="60"/>
    </row>
    <row r="57" spans="2:35" s="9" customFormat="1" x14ac:dyDescent="0.25">
      <c r="B57" s="10"/>
      <c r="D57" s="11"/>
      <c r="AF57" s="18"/>
      <c r="AI57" s="60"/>
    </row>
    <row r="58" spans="2:35" s="9" customFormat="1" x14ac:dyDescent="0.25">
      <c r="B58" s="10"/>
      <c r="D58" s="11"/>
      <c r="AF58" s="18"/>
      <c r="AI58" s="60"/>
    </row>
    <row r="59" spans="2:35" s="9" customFormat="1" x14ac:dyDescent="0.25">
      <c r="B59" s="10"/>
      <c r="D59" s="11"/>
      <c r="AF59" s="18"/>
      <c r="AI59" s="60"/>
    </row>
    <row r="60" spans="2:35" s="9" customFormat="1" x14ac:dyDescent="0.25">
      <c r="B60" s="10"/>
      <c r="D60" s="11"/>
      <c r="AF60" s="18"/>
      <c r="AI60" s="60"/>
    </row>
    <row r="61" spans="2:35" s="9" customFormat="1" x14ac:dyDescent="0.25">
      <c r="B61" s="10"/>
      <c r="D61" s="11"/>
      <c r="AF61" s="18"/>
      <c r="AI61" s="60"/>
    </row>
    <row r="62" spans="2:35" s="9" customFormat="1" x14ac:dyDescent="0.25">
      <c r="B62" s="10"/>
      <c r="D62" s="11"/>
      <c r="AF62" s="18"/>
      <c r="AI62" s="60"/>
    </row>
    <row r="63" spans="2:35" s="9" customFormat="1" x14ac:dyDescent="0.25">
      <c r="B63" s="10"/>
      <c r="D63" s="11"/>
      <c r="AF63" s="18"/>
      <c r="AI63" s="60"/>
    </row>
    <row r="64" spans="2:35" s="9" customFormat="1" x14ac:dyDescent="0.25">
      <c r="B64" s="10"/>
      <c r="D64" s="11"/>
      <c r="AF64" s="18"/>
      <c r="AI64" s="60"/>
    </row>
    <row r="65" spans="2:35" s="9" customFormat="1" x14ac:dyDescent="0.25">
      <c r="B65" s="10"/>
      <c r="D65" s="11"/>
      <c r="AF65" s="18"/>
      <c r="AI65" s="60"/>
    </row>
    <row r="66" spans="2:35" s="9" customFormat="1" x14ac:dyDescent="0.25">
      <c r="B66" s="10"/>
      <c r="D66" s="11"/>
      <c r="AF66" s="18"/>
      <c r="AI66" s="60"/>
    </row>
    <row r="67" spans="2:35" s="9" customFormat="1" x14ac:dyDescent="0.25">
      <c r="B67" s="10"/>
      <c r="D67" s="11"/>
      <c r="AF67" s="18"/>
      <c r="AI67" s="60"/>
    </row>
    <row r="68" spans="2:35" s="9" customFormat="1" x14ac:dyDescent="0.25">
      <c r="B68" s="10"/>
      <c r="D68" s="11"/>
      <c r="AF68" s="18"/>
      <c r="AI68" s="60"/>
    </row>
    <row r="69" spans="2:35" s="9" customFormat="1" x14ac:dyDescent="0.25">
      <c r="B69" s="10"/>
      <c r="D69" s="11"/>
      <c r="AF69" s="18"/>
      <c r="AI69" s="60"/>
    </row>
    <row r="70" spans="2:35" s="9" customFormat="1" x14ac:dyDescent="0.25">
      <c r="B70" s="10"/>
      <c r="D70" s="11"/>
      <c r="AF70" s="18"/>
      <c r="AI70" s="60"/>
    </row>
    <row r="71" spans="2:35" s="9" customFormat="1" x14ac:dyDescent="0.25">
      <c r="B71" s="10"/>
      <c r="D71" s="11"/>
      <c r="AF71" s="18"/>
      <c r="AI71" s="60"/>
    </row>
    <row r="72" spans="2:35" s="9" customFormat="1" x14ac:dyDescent="0.25">
      <c r="B72" s="10"/>
      <c r="D72" s="11"/>
      <c r="AF72" s="18"/>
      <c r="AI72" s="60"/>
    </row>
    <row r="73" spans="2:35" s="9" customFormat="1" x14ac:dyDescent="0.25">
      <c r="B73" s="10"/>
      <c r="D73" s="11"/>
      <c r="AF73" s="18"/>
      <c r="AI73" s="60"/>
    </row>
    <row r="74" spans="2:35" s="9" customFormat="1" x14ac:dyDescent="0.25">
      <c r="B74" s="10"/>
      <c r="D74" s="11"/>
      <c r="AF74" s="18"/>
      <c r="AI74" s="60"/>
    </row>
    <row r="75" spans="2:35" s="9" customFormat="1" x14ac:dyDescent="0.25">
      <c r="B75" s="10"/>
      <c r="D75" s="11"/>
      <c r="AF75" s="18"/>
      <c r="AI75" s="60"/>
    </row>
    <row r="76" spans="2:35" s="9" customFormat="1" x14ac:dyDescent="0.25">
      <c r="B76" s="10"/>
      <c r="D76" s="11"/>
      <c r="AF76" s="18"/>
      <c r="AI76" s="60"/>
    </row>
    <row r="77" spans="2:35" s="9" customFormat="1" x14ac:dyDescent="0.25">
      <c r="B77" s="10"/>
      <c r="D77" s="11"/>
      <c r="AF77" s="18"/>
      <c r="AI77" s="60"/>
    </row>
    <row r="78" spans="2:35" s="9" customFormat="1" x14ac:dyDescent="0.25">
      <c r="B78" s="10"/>
      <c r="D78" s="11"/>
      <c r="AF78" s="18"/>
      <c r="AI78" s="60"/>
    </row>
    <row r="79" spans="2:35" s="9" customFormat="1" x14ac:dyDescent="0.25">
      <c r="B79" s="10"/>
      <c r="D79" s="11"/>
      <c r="AF79" s="18"/>
      <c r="AI79" s="60"/>
    </row>
    <row r="80" spans="2:35" s="9" customFormat="1" x14ac:dyDescent="0.25">
      <c r="B80" s="10"/>
      <c r="D80" s="11"/>
      <c r="AF80" s="18"/>
      <c r="AI80" s="60"/>
    </row>
    <row r="81" spans="2:35" s="9" customFormat="1" x14ac:dyDescent="0.25">
      <c r="B81" s="10"/>
      <c r="D81" s="11"/>
      <c r="AF81" s="18"/>
      <c r="AI81" s="60"/>
    </row>
    <row r="82" spans="2:35" s="9" customFormat="1" x14ac:dyDescent="0.25">
      <c r="B82" s="10"/>
      <c r="D82" s="11"/>
      <c r="AF82" s="18"/>
      <c r="AI82" s="60"/>
    </row>
    <row r="83" spans="2:35" s="9" customFormat="1" x14ac:dyDescent="0.25">
      <c r="B83" s="10"/>
      <c r="D83" s="11"/>
      <c r="AF83" s="18"/>
      <c r="AI83" s="60"/>
    </row>
    <row r="84" spans="2:35" s="9" customFormat="1" x14ac:dyDescent="0.25">
      <c r="B84" s="10"/>
      <c r="D84" s="11"/>
      <c r="AF84" s="18"/>
      <c r="AI84" s="60"/>
    </row>
    <row r="85" spans="2:35" s="9" customFormat="1" x14ac:dyDescent="0.25">
      <c r="B85" s="10"/>
      <c r="D85" s="11"/>
      <c r="AF85" s="18"/>
      <c r="AI85" s="60"/>
    </row>
    <row r="86" spans="2:35" s="9" customFormat="1" x14ac:dyDescent="0.25">
      <c r="B86" s="10"/>
      <c r="D86" s="11"/>
      <c r="AF86" s="18"/>
      <c r="AI86" s="60"/>
    </row>
    <row r="87" spans="2:35" s="9" customFormat="1" x14ac:dyDescent="0.25">
      <c r="B87" s="10"/>
      <c r="D87" s="11"/>
      <c r="AF87" s="18"/>
      <c r="AI87" s="60"/>
    </row>
    <row r="88" spans="2:35" s="9" customFormat="1" x14ac:dyDescent="0.25">
      <c r="B88" s="10"/>
      <c r="D88" s="11"/>
      <c r="AF88" s="18"/>
      <c r="AI88" s="60"/>
    </row>
    <row r="89" spans="2:35" s="9" customFormat="1" x14ac:dyDescent="0.25">
      <c r="B89" s="10"/>
      <c r="D89" s="11"/>
      <c r="AF89" s="18"/>
      <c r="AI89" s="60"/>
    </row>
    <row r="90" spans="2:35" s="9" customFormat="1" x14ac:dyDescent="0.25">
      <c r="B90" s="10"/>
      <c r="D90" s="11"/>
      <c r="AF90" s="18"/>
      <c r="AI90" s="60"/>
    </row>
    <row r="91" spans="2:35" s="9" customFormat="1" x14ac:dyDescent="0.25">
      <c r="B91" s="10"/>
      <c r="D91" s="11"/>
      <c r="AF91" s="18"/>
      <c r="AI91" s="60"/>
    </row>
    <row r="92" spans="2:35" s="9" customFormat="1" x14ac:dyDescent="0.25">
      <c r="B92" s="10"/>
      <c r="D92" s="11"/>
      <c r="AF92" s="18"/>
      <c r="AI92" s="60"/>
    </row>
    <row r="93" spans="2:35" s="9" customFormat="1" x14ac:dyDescent="0.25">
      <c r="B93" s="10"/>
      <c r="D93" s="11"/>
      <c r="AF93" s="18"/>
      <c r="AI93" s="60"/>
    </row>
    <row r="94" spans="2:35" s="9" customFormat="1" x14ac:dyDescent="0.25">
      <c r="B94" s="10"/>
      <c r="D94" s="11"/>
      <c r="AF94" s="18"/>
      <c r="AI94" s="60"/>
    </row>
    <row r="95" spans="2:35" s="9" customFormat="1" x14ac:dyDescent="0.25">
      <c r="B95" s="10"/>
      <c r="D95" s="11"/>
      <c r="AF95" s="18"/>
      <c r="AI95" s="60"/>
    </row>
    <row r="96" spans="2:35" s="9" customFormat="1" x14ac:dyDescent="0.25">
      <c r="B96" s="10"/>
      <c r="D96" s="11"/>
      <c r="AF96" s="18"/>
      <c r="AI96" s="60"/>
    </row>
    <row r="97" spans="2:35" s="9" customFormat="1" x14ac:dyDescent="0.25">
      <c r="B97" s="10"/>
      <c r="D97" s="11"/>
      <c r="AF97" s="18"/>
      <c r="AI97" s="60"/>
    </row>
    <row r="98" spans="2:35" s="9" customFormat="1" x14ac:dyDescent="0.25">
      <c r="B98" s="10"/>
      <c r="D98" s="11"/>
      <c r="AF98" s="18"/>
      <c r="AI98" s="60"/>
    </row>
    <row r="99" spans="2:35" s="9" customFormat="1" x14ac:dyDescent="0.25">
      <c r="B99" s="10"/>
      <c r="D99" s="11"/>
      <c r="AF99" s="18"/>
      <c r="AI99" s="60"/>
    </row>
    <row r="100" spans="2:35" s="9" customFormat="1" x14ac:dyDescent="0.25">
      <c r="B100" s="10"/>
      <c r="D100" s="11"/>
      <c r="AF100" s="18"/>
      <c r="AI100" s="60"/>
    </row>
    <row r="101" spans="2:35" s="9" customFormat="1" x14ac:dyDescent="0.25">
      <c r="B101" s="10"/>
      <c r="D101" s="11"/>
      <c r="AF101" s="18"/>
      <c r="AI101" s="60"/>
    </row>
    <row r="102" spans="2:35" s="9" customFormat="1" x14ac:dyDescent="0.25">
      <c r="B102" s="10"/>
      <c r="D102" s="11"/>
      <c r="AF102" s="18"/>
      <c r="AI102" s="60"/>
    </row>
    <row r="103" spans="2:35" s="9" customFormat="1" x14ac:dyDescent="0.25">
      <c r="B103" s="10"/>
      <c r="D103" s="11"/>
      <c r="AF103" s="18"/>
      <c r="AI103" s="60"/>
    </row>
    <row r="104" spans="2:35" s="9" customFormat="1" x14ac:dyDescent="0.25">
      <c r="B104" s="10"/>
      <c r="D104" s="11"/>
      <c r="AF104" s="18"/>
      <c r="AI104" s="60"/>
    </row>
    <row r="105" spans="2:35" s="9" customFormat="1" x14ac:dyDescent="0.25">
      <c r="B105" s="10"/>
      <c r="D105" s="11"/>
      <c r="AF105" s="18"/>
      <c r="AI105" s="60"/>
    </row>
    <row r="106" spans="2:35" s="9" customFormat="1" x14ac:dyDescent="0.25">
      <c r="B106" s="10"/>
      <c r="D106" s="11"/>
      <c r="AF106" s="18"/>
      <c r="AI106" s="60"/>
    </row>
    <row r="107" spans="2:35" s="9" customFormat="1" x14ac:dyDescent="0.25">
      <c r="B107" s="10"/>
      <c r="D107" s="11"/>
      <c r="AF107" s="18"/>
      <c r="AI107" s="60"/>
    </row>
    <row r="108" spans="2:35" s="9" customFormat="1" x14ac:dyDescent="0.25">
      <c r="B108" s="10"/>
      <c r="D108" s="11"/>
      <c r="AF108" s="18"/>
      <c r="AI108" s="60"/>
    </row>
    <row r="109" spans="2:35" s="9" customFormat="1" x14ac:dyDescent="0.25">
      <c r="B109" s="10"/>
      <c r="D109" s="11"/>
      <c r="AF109" s="18"/>
      <c r="AI109" s="60"/>
    </row>
    <row r="110" spans="2:35" s="9" customFormat="1" x14ac:dyDescent="0.25">
      <c r="B110" s="10"/>
      <c r="D110" s="11"/>
      <c r="AF110" s="18"/>
      <c r="AI110" s="60"/>
    </row>
    <row r="111" spans="2:35" s="9" customFormat="1" x14ac:dyDescent="0.25">
      <c r="B111" s="10"/>
      <c r="D111" s="11"/>
      <c r="AF111" s="18"/>
      <c r="AI111" s="60"/>
    </row>
    <row r="112" spans="2:35" s="9" customFormat="1" x14ac:dyDescent="0.25">
      <c r="B112" s="10"/>
      <c r="D112" s="11"/>
      <c r="AF112" s="18"/>
      <c r="AI112" s="60"/>
    </row>
    <row r="113" spans="2:35" s="9" customFormat="1" x14ac:dyDescent="0.25">
      <c r="B113" s="10"/>
      <c r="D113" s="11"/>
      <c r="AF113" s="18"/>
      <c r="AI113" s="60"/>
    </row>
    <row r="114" spans="2:35" s="9" customFormat="1" x14ac:dyDescent="0.25">
      <c r="B114" s="10"/>
      <c r="D114" s="11"/>
      <c r="AF114" s="18"/>
      <c r="AI114" s="60"/>
    </row>
    <row r="115" spans="2:35" s="9" customFormat="1" x14ac:dyDescent="0.25">
      <c r="B115" s="10"/>
      <c r="D115" s="11"/>
      <c r="AF115" s="18"/>
      <c r="AI115" s="60"/>
    </row>
    <row r="116" spans="2:35" s="9" customFormat="1" x14ac:dyDescent="0.25">
      <c r="B116" s="10"/>
      <c r="D116" s="11"/>
      <c r="AF116" s="18"/>
      <c r="AI116" s="60"/>
    </row>
    <row r="117" spans="2:35" s="9" customFormat="1" x14ac:dyDescent="0.25">
      <c r="B117" s="10"/>
      <c r="D117" s="11"/>
      <c r="AF117" s="18"/>
      <c r="AI117" s="60"/>
    </row>
    <row r="118" spans="2:35" s="9" customFormat="1" x14ac:dyDescent="0.25">
      <c r="B118" s="10"/>
      <c r="D118" s="11"/>
      <c r="AF118" s="18"/>
      <c r="AI118" s="60"/>
    </row>
    <row r="119" spans="2:35" s="9" customFormat="1" x14ac:dyDescent="0.25">
      <c r="B119" s="10"/>
      <c r="D119" s="11"/>
      <c r="AF119" s="18"/>
      <c r="AI119" s="60"/>
    </row>
    <row r="120" spans="2:35" s="9" customFormat="1" x14ac:dyDescent="0.25">
      <c r="B120" s="10"/>
      <c r="D120" s="11"/>
      <c r="AF120" s="18"/>
      <c r="AI120" s="60"/>
    </row>
    <row r="121" spans="2:35" s="9" customFormat="1" x14ac:dyDescent="0.25">
      <c r="B121" s="10"/>
      <c r="D121" s="11"/>
      <c r="AF121" s="18"/>
      <c r="AI121" s="60"/>
    </row>
    <row r="122" spans="2:35" s="9" customFormat="1" x14ac:dyDescent="0.25">
      <c r="B122" s="10"/>
      <c r="D122" s="11"/>
      <c r="AF122" s="18"/>
      <c r="AI122" s="60"/>
    </row>
    <row r="123" spans="2:35" s="9" customFormat="1" x14ac:dyDescent="0.25">
      <c r="B123" s="10"/>
      <c r="D123" s="11"/>
      <c r="AF123" s="18"/>
      <c r="AI123" s="60"/>
    </row>
    <row r="124" spans="2:35" s="9" customFormat="1" x14ac:dyDescent="0.25">
      <c r="B124" s="10"/>
      <c r="D124" s="11"/>
      <c r="AF124" s="18"/>
      <c r="AI124" s="60"/>
    </row>
    <row r="125" spans="2:35" s="9" customFormat="1" x14ac:dyDescent="0.25">
      <c r="B125" s="10"/>
      <c r="D125" s="11"/>
      <c r="AF125" s="18"/>
      <c r="AI125" s="60"/>
    </row>
    <row r="126" spans="2:35" s="9" customFormat="1" x14ac:dyDescent="0.25">
      <c r="B126" s="10"/>
      <c r="D126" s="11"/>
      <c r="AF126" s="18"/>
      <c r="AI126" s="60"/>
    </row>
    <row r="127" spans="2:35" s="9" customFormat="1" x14ac:dyDescent="0.25">
      <c r="B127" s="10"/>
      <c r="D127" s="11"/>
      <c r="AF127" s="18"/>
      <c r="AI127" s="60"/>
    </row>
    <row r="128" spans="2:35" s="9" customFormat="1" x14ac:dyDescent="0.25">
      <c r="B128" s="10"/>
      <c r="D128" s="11"/>
      <c r="AF128" s="18"/>
      <c r="AI128" s="60"/>
    </row>
    <row r="129" spans="2:35" s="9" customFormat="1" x14ac:dyDescent="0.25">
      <c r="B129" s="10"/>
      <c r="D129" s="11"/>
      <c r="AF129" s="18"/>
      <c r="AI129" s="60"/>
    </row>
    <row r="130" spans="2:35" s="9" customFormat="1" x14ac:dyDescent="0.25">
      <c r="B130" s="10"/>
      <c r="D130" s="11"/>
      <c r="AF130" s="18"/>
      <c r="AI130" s="60"/>
    </row>
    <row r="131" spans="2:35" s="9" customFormat="1" x14ac:dyDescent="0.25">
      <c r="B131" s="10"/>
      <c r="D131" s="11"/>
      <c r="AF131" s="18"/>
      <c r="AI131" s="60"/>
    </row>
    <row r="132" spans="2:35" s="9" customFormat="1" x14ac:dyDescent="0.25">
      <c r="B132" s="10"/>
      <c r="D132" s="11"/>
      <c r="AF132" s="18"/>
      <c r="AI132" s="60"/>
    </row>
    <row r="133" spans="2:35" s="9" customFormat="1" x14ac:dyDescent="0.25">
      <c r="B133" s="10"/>
      <c r="D133" s="11"/>
      <c r="AF133" s="18"/>
      <c r="AI133" s="60"/>
    </row>
    <row r="134" spans="2:35" s="9" customFormat="1" x14ac:dyDescent="0.25">
      <c r="B134" s="10"/>
      <c r="D134" s="11"/>
      <c r="AF134" s="18"/>
      <c r="AI134" s="60"/>
    </row>
    <row r="135" spans="2:35" s="9" customFormat="1" x14ac:dyDescent="0.25">
      <c r="B135" s="10"/>
      <c r="D135" s="11"/>
      <c r="AF135" s="18"/>
      <c r="AI135" s="60"/>
    </row>
    <row r="136" spans="2:35" s="9" customFormat="1" x14ac:dyDescent="0.25">
      <c r="B136" s="10"/>
      <c r="D136" s="11"/>
      <c r="AF136" s="18"/>
      <c r="AI136" s="60"/>
    </row>
    <row r="137" spans="2:35" s="9" customFormat="1" x14ac:dyDescent="0.25">
      <c r="B137" s="10"/>
      <c r="D137" s="11"/>
      <c r="AF137" s="18"/>
      <c r="AI137" s="60"/>
    </row>
    <row r="138" spans="2:35" s="9" customFormat="1" x14ac:dyDescent="0.25">
      <c r="B138" s="10"/>
      <c r="D138" s="11"/>
      <c r="AF138" s="18"/>
      <c r="AI138" s="60"/>
    </row>
    <row r="139" spans="2:35" s="9" customFormat="1" x14ac:dyDescent="0.25">
      <c r="B139" s="10"/>
      <c r="D139" s="11"/>
      <c r="AF139" s="18"/>
      <c r="AI139" s="60"/>
    </row>
    <row r="140" spans="2:35" s="9" customFormat="1" x14ac:dyDescent="0.25">
      <c r="B140" s="10"/>
      <c r="D140" s="11"/>
      <c r="AF140" s="18"/>
      <c r="AI140" s="60"/>
    </row>
    <row r="141" spans="2:35" s="9" customFormat="1" x14ac:dyDescent="0.25">
      <c r="B141" s="10"/>
      <c r="D141" s="11"/>
      <c r="AF141" s="18"/>
      <c r="AI141" s="60"/>
    </row>
    <row r="142" spans="2:35" s="9" customFormat="1" x14ac:dyDescent="0.25">
      <c r="B142" s="10"/>
      <c r="D142" s="11"/>
      <c r="AF142" s="18"/>
      <c r="AI142" s="60"/>
    </row>
    <row r="143" spans="2:35" s="9" customFormat="1" x14ac:dyDescent="0.25">
      <c r="B143" s="10"/>
      <c r="D143" s="11"/>
      <c r="AF143" s="18"/>
      <c r="AI143" s="60"/>
    </row>
    <row r="144" spans="2:35" s="9" customFormat="1" x14ac:dyDescent="0.25">
      <c r="B144" s="10"/>
      <c r="D144" s="11"/>
      <c r="AF144" s="18"/>
      <c r="AI144" s="60"/>
    </row>
    <row r="145" spans="2:35" s="9" customFormat="1" x14ac:dyDescent="0.25">
      <c r="B145" s="10"/>
      <c r="D145" s="11"/>
      <c r="AF145" s="18"/>
      <c r="AI145" s="60"/>
    </row>
    <row r="146" spans="2:35" s="9" customFormat="1" x14ac:dyDescent="0.25">
      <c r="B146" s="10"/>
      <c r="D146" s="11"/>
      <c r="AF146" s="18"/>
      <c r="AI146" s="60"/>
    </row>
    <row r="147" spans="2:35" s="9" customFormat="1" x14ac:dyDescent="0.25">
      <c r="B147" s="10"/>
      <c r="D147" s="11"/>
      <c r="AF147" s="18"/>
      <c r="AI147" s="60"/>
    </row>
    <row r="148" spans="2:35" s="9" customFormat="1" x14ac:dyDescent="0.25">
      <c r="B148" s="10"/>
      <c r="D148" s="11"/>
      <c r="AF148" s="18"/>
      <c r="AI148" s="60"/>
    </row>
    <row r="149" spans="2:35" s="9" customFormat="1" x14ac:dyDescent="0.25">
      <c r="B149" s="10"/>
      <c r="D149" s="11"/>
      <c r="AF149" s="18"/>
      <c r="AI149" s="60"/>
    </row>
    <row r="150" spans="2:35" s="9" customFormat="1" x14ac:dyDescent="0.25">
      <c r="B150" s="10"/>
      <c r="D150" s="11"/>
      <c r="AF150" s="18"/>
      <c r="AI150" s="60"/>
    </row>
    <row r="151" spans="2:35" s="9" customFormat="1" x14ac:dyDescent="0.25">
      <c r="B151" s="10"/>
      <c r="D151" s="11"/>
      <c r="AF151" s="18"/>
      <c r="AI151" s="60"/>
    </row>
    <row r="152" spans="2:35" s="9" customFormat="1" x14ac:dyDescent="0.25">
      <c r="B152" s="10"/>
      <c r="D152" s="11"/>
      <c r="AF152" s="18"/>
      <c r="AI152" s="60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H2:AI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8830-57B4-4B23-8891-D8C5B47BE468}">
  <sheetPr>
    <tabColor theme="5"/>
  </sheetPr>
  <dimension ref="A1:BI152"/>
  <sheetViews>
    <sheetView topLeftCell="F1" zoomScale="115" zoomScaleNormal="115" workbookViewId="0">
      <selection activeCell="AQ62" sqref="AQ62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11.42578125" style="9"/>
    <col min="15" max="15" width="21.85546875" style="9" customWidth="1"/>
    <col min="16" max="16" width="7.42578125" style="9" customWidth="1"/>
    <col min="17" max="18" width="11.42578125" style="9" customWidth="1"/>
    <col min="19" max="19" width="4" style="9" customWidth="1"/>
    <col min="20" max="20" width="11.42578125" style="9" customWidth="1"/>
    <col min="21" max="21" width="21.85546875" style="9" customWidth="1"/>
    <col min="22" max="22" width="7.42578125" style="9" customWidth="1"/>
    <col min="23" max="24" width="11.42578125" style="9" customWidth="1"/>
    <col min="25" max="25" width="4.5703125" style="9" customWidth="1"/>
    <col min="26" max="26" width="11.42578125" style="9" customWidth="1"/>
    <col min="27" max="27" width="21.85546875" style="9" customWidth="1"/>
    <col min="28" max="31" width="11.42578125" style="9" customWidth="1"/>
    <col min="32" max="32" width="3.42578125" style="9" customWidth="1"/>
    <col min="33" max="33" width="0.85546875" style="18" customWidth="1"/>
    <col min="34" max="34" width="11.42578125" style="9"/>
    <col min="35" max="35" width="24" style="9" customWidth="1"/>
    <col min="36" max="36" width="11.42578125" style="11"/>
    <col min="37" max="61" width="11.42578125" style="9"/>
  </cols>
  <sheetData>
    <row r="1" spans="1:61" s="9" customFormat="1" x14ac:dyDescent="0.25">
      <c r="B1" s="10"/>
      <c r="D1" s="11"/>
      <c r="AG1" s="18"/>
      <c r="AJ1" s="11"/>
    </row>
    <row r="2" spans="1:61" s="9" customFormat="1" ht="28.5" customHeight="1" thickBot="1" x14ac:dyDescent="0.3">
      <c r="B2" s="10"/>
      <c r="D2" s="11"/>
      <c r="AG2" s="18"/>
      <c r="AI2" s="86" t="s">
        <v>53</v>
      </c>
      <c r="AJ2" s="86"/>
      <c r="AK2" s="26"/>
      <c r="AL2" s="26"/>
      <c r="AM2" s="26"/>
    </row>
    <row r="3" spans="1:61" ht="22.5" customHeight="1" thickBot="1" x14ac:dyDescent="0.3">
      <c r="C3" s="87" t="s">
        <v>172</v>
      </c>
      <c r="D3" s="88"/>
      <c r="E3" s="88"/>
      <c r="F3" s="89"/>
      <c r="H3" s="8"/>
      <c r="I3" s="87" t="s">
        <v>173</v>
      </c>
      <c r="J3" s="88"/>
      <c r="K3" s="88"/>
      <c r="L3" s="89"/>
      <c r="N3" s="8"/>
      <c r="O3" s="87" t="s">
        <v>174</v>
      </c>
      <c r="P3" s="88"/>
      <c r="Q3" s="88"/>
      <c r="R3" s="89"/>
      <c r="T3" s="8"/>
      <c r="U3" s="87" t="s">
        <v>540</v>
      </c>
      <c r="V3" s="88"/>
      <c r="W3" s="88"/>
      <c r="X3" s="89"/>
      <c r="Y3" s="20"/>
      <c r="Z3" s="8"/>
      <c r="AA3" s="87" t="s">
        <v>541</v>
      </c>
      <c r="AB3" s="88"/>
      <c r="AC3" s="88"/>
      <c r="AD3" s="89"/>
      <c r="AE3" s="20"/>
      <c r="AF3" s="20"/>
      <c r="AI3" s="24"/>
      <c r="AJ3" s="26"/>
      <c r="AK3" s="24"/>
      <c r="AL3" s="24"/>
      <c r="AM3" s="24"/>
    </row>
    <row r="4" spans="1:61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0</v>
      </c>
      <c r="E4" s="94"/>
      <c r="F4" s="95"/>
      <c r="G4" s="29"/>
      <c r="H4" s="91" t="s">
        <v>9</v>
      </c>
      <c r="I4" s="27" t="s">
        <v>1</v>
      </c>
      <c r="J4" s="12">
        <f>J6+J7+J8+J9+J10+J11</f>
        <v>0</v>
      </c>
      <c r="K4" s="94"/>
      <c r="L4" s="95"/>
      <c r="M4" s="29"/>
      <c r="N4" s="91" t="s">
        <v>9</v>
      </c>
      <c r="O4" s="27" t="s">
        <v>1</v>
      </c>
      <c r="P4" s="12">
        <f>+P6+P7+P8+P9+P10+P11</f>
        <v>151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0"/>
      <c r="AG4" s="31"/>
      <c r="AH4" s="29"/>
      <c r="AI4" s="28" t="s">
        <v>1</v>
      </c>
      <c r="AJ4" s="25">
        <f>J4+P4+V4</f>
        <v>151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5.75" customHeight="1" x14ac:dyDescent="0.25">
      <c r="B5" s="92"/>
      <c r="C5" s="6" t="s">
        <v>0</v>
      </c>
      <c r="D5" s="16">
        <v>0</v>
      </c>
      <c r="E5" s="96"/>
      <c r="F5" s="97"/>
      <c r="H5" s="92"/>
      <c r="I5" s="6" t="s">
        <v>0</v>
      </c>
      <c r="J5" s="16">
        <v>0</v>
      </c>
      <c r="K5" s="96"/>
      <c r="L5" s="97"/>
      <c r="N5" s="92"/>
      <c r="O5" s="6" t="s">
        <v>0</v>
      </c>
      <c r="P5" s="16">
        <v>19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F5" s="17"/>
      <c r="AI5" s="6" t="s">
        <v>0</v>
      </c>
      <c r="AJ5" s="16">
        <f>J5+P5+V5</f>
        <v>19</v>
      </c>
    </row>
    <row r="6" spans="1:61" ht="15.75" customHeight="1" x14ac:dyDescent="0.25">
      <c r="B6" s="92"/>
      <c r="C6" s="2" t="s">
        <v>2</v>
      </c>
      <c r="D6" s="4">
        <v>0</v>
      </c>
      <c r="E6" s="96"/>
      <c r="F6" s="97"/>
      <c r="H6" s="92"/>
      <c r="I6" s="2" t="s">
        <v>2</v>
      </c>
      <c r="J6" s="4">
        <v>0</v>
      </c>
      <c r="K6" s="96"/>
      <c r="L6" s="97"/>
      <c r="N6" s="92"/>
      <c r="O6" s="2" t="s">
        <v>2</v>
      </c>
      <c r="P6" s="4">
        <v>39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F6" s="17"/>
      <c r="AI6" s="2" t="s">
        <v>2</v>
      </c>
      <c r="AJ6" s="4">
        <f t="shared" ref="AJ6:AJ15" si="0">+J6+P6+V6</f>
        <v>39</v>
      </c>
    </row>
    <row r="7" spans="1:61" x14ac:dyDescent="0.25">
      <c r="B7" s="92"/>
      <c r="C7" s="2" t="s">
        <v>3</v>
      </c>
      <c r="D7" s="4">
        <v>0</v>
      </c>
      <c r="E7" s="96"/>
      <c r="F7" s="97"/>
      <c r="H7" s="92"/>
      <c r="I7" s="2" t="s">
        <v>3</v>
      </c>
      <c r="J7" s="4">
        <v>0</v>
      </c>
      <c r="K7" s="96"/>
      <c r="L7" s="97"/>
      <c r="N7" s="92"/>
      <c r="O7" s="2" t="s">
        <v>3</v>
      </c>
      <c r="P7" s="4">
        <v>58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F7" s="17"/>
      <c r="AI7" s="2" t="s">
        <v>3</v>
      </c>
      <c r="AJ7" s="4">
        <f t="shared" si="0"/>
        <v>58</v>
      </c>
    </row>
    <row r="8" spans="1:61" x14ac:dyDescent="0.25">
      <c r="B8" s="92"/>
      <c r="C8" s="2" t="s">
        <v>4</v>
      </c>
      <c r="D8" s="4">
        <v>0</v>
      </c>
      <c r="E8" s="96"/>
      <c r="F8" s="97"/>
      <c r="H8" s="92"/>
      <c r="I8" s="2" t="s">
        <v>4</v>
      </c>
      <c r="J8" s="4">
        <v>0</v>
      </c>
      <c r="K8" s="96"/>
      <c r="L8" s="97"/>
      <c r="N8" s="92"/>
      <c r="O8" s="2" t="s">
        <v>4</v>
      </c>
      <c r="P8" s="4">
        <v>11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F8" s="17"/>
      <c r="AI8" s="2" t="s">
        <v>4</v>
      </c>
      <c r="AJ8" s="4">
        <f t="shared" si="0"/>
        <v>11</v>
      </c>
    </row>
    <row r="9" spans="1:61" x14ac:dyDescent="0.25">
      <c r="B9" s="92"/>
      <c r="C9" s="2" t="s">
        <v>5</v>
      </c>
      <c r="D9" s="4">
        <v>0</v>
      </c>
      <c r="E9" s="96"/>
      <c r="F9" s="97"/>
      <c r="H9" s="92"/>
      <c r="I9" s="2" t="s">
        <v>5</v>
      </c>
      <c r="J9" s="4">
        <v>0</v>
      </c>
      <c r="K9" s="96"/>
      <c r="L9" s="97"/>
      <c r="N9" s="92"/>
      <c r="O9" s="2" t="s">
        <v>5</v>
      </c>
      <c r="P9" s="4">
        <v>19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F9" s="17"/>
      <c r="AI9" s="2" t="s">
        <v>5</v>
      </c>
      <c r="AJ9" s="4">
        <f t="shared" si="0"/>
        <v>19</v>
      </c>
    </row>
    <row r="10" spans="1:61" ht="15.75" thickBot="1" x14ac:dyDescent="0.3">
      <c r="B10" s="92"/>
      <c r="C10" s="7" t="s">
        <v>6</v>
      </c>
      <c r="D10" s="15">
        <v>0</v>
      </c>
      <c r="E10" s="96"/>
      <c r="F10" s="97"/>
      <c r="H10" s="92"/>
      <c r="I10" s="7" t="s">
        <v>6</v>
      </c>
      <c r="J10" s="15">
        <v>0</v>
      </c>
      <c r="K10" s="96"/>
      <c r="L10" s="97"/>
      <c r="N10" s="92"/>
      <c r="O10" s="7" t="s">
        <v>6</v>
      </c>
      <c r="P10" s="15">
        <v>6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F10" s="17"/>
      <c r="AI10" s="7" t="s">
        <v>6</v>
      </c>
      <c r="AJ10" s="15">
        <f t="shared" si="0"/>
        <v>6</v>
      </c>
    </row>
    <row r="11" spans="1:61" ht="15.75" thickBot="1" x14ac:dyDescent="0.3">
      <c r="B11" s="92"/>
      <c r="C11" s="2" t="s">
        <v>7</v>
      </c>
      <c r="D11" s="4">
        <v>0</v>
      </c>
      <c r="E11" s="98" t="s">
        <v>33</v>
      </c>
      <c r="F11" s="99"/>
      <c r="H11" s="92"/>
      <c r="I11" s="2" t="s">
        <v>7</v>
      </c>
      <c r="J11" s="4">
        <v>0</v>
      </c>
      <c r="K11" s="98" t="s">
        <v>33</v>
      </c>
      <c r="L11" s="99"/>
      <c r="N11" s="92"/>
      <c r="O11" s="2" t="s">
        <v>7</v>
      </c>
      <c r="P11" s="4">
        <v>18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F11" s="19"/>
      <c r="AI11" s="2" t="s">
        <v>7</v>
      </c>
      <c r="AJ11" s="4">
        <f t="shared" si="0"/>
        <v>18</v>
      </c>
    </row>
    <row r="12" spans="1:61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F12" s="17"/>
      <c r="AI12" s="2" t="s">
        <v>49</v>
      </c>
      <c r="AJ12" s="4">
        <f t="shared" si="0"/>
        <v>0</v>
      </c>
    </row>
    <row r="13" spans="1:61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F13" s="17"/>
      <c r="AI13" s="2" t="s">
        <v>50</v>
      </c>
      <c r="AJ13" s="4">
        <f t="shared" si="0"/>
        <v>0</v>
      </c>
    </row>
    <row r="14" spans="1:61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F14" s="17"/>
      <c r="AI14" s="2" t="s">
        <v>51</v>
      </c>
      <c r="AJ14" s="4">
        <f t="shared" si="0"/>
        <v>0</v>
      </c>
    </row>
    <row r="15" spans="1:61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F15" s="19"/>
      <c r="AI15" s="3" t="s">
        <v>52</v>
      </c>
      <c r="AJ15" s="5">
        <f t="shared" si="0"/>
        <v>0</v>
      </c>
    </row>
    <row r="16" spans="1:61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G16" s="18"/>
      <c r="AJ16" s="11"/>
    </row>
    <row r="17" spans="2:36" x14ac:dyDescent="0.25">
      <c r="B17" s="104" t="s">
        <v>28</v>
      </c>
      <c r="C17" s="6" t="s">
        <v>10</v>
      </c>
      <c r="D17" s="107" t="s">
        <v>175</v>
      </c>
      <c r="E17" s="108"/>
      <c r="F17" s="9"/>
      <c r="H17" s="104" t="s">
        <v>28</v>
      </c>
      <c r="I17" s="6" t="s">
        <v>10</v>
      </c>
      <c r="J17" s="107" t="s">
        <v>175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542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6" ht="15.75" thickBot="1" x14ac:dyDescent="0.3">
      <c r="B18" s="105"/>
      <c r="C18" s="2" t="s">
        <v>11</v>
      </c>
      <c r="D18" s="100" t="s">
        <v>176</v>
      </c>
      <c r="E18" s="101"/>
      <c r="F18" s="9"/>
      <c r="H18" s="105"/>
      <c r="I18" s="2" t="s">
        <v>11</v>
      </c>
      <c r="J18" s="100" t="s">
        <v>176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176</v>
      </c>
      <c r="W18" s="101"/>
      <c r="Z18" s="105"/>
      <c r="AA18" s="2" t="s">
        <v>11</v>
      </c>
      <c r="AB18" s="100" t="s">
        <v>35</v>
      </c>
      <c r="AC18" s="101"/>
    </row>
    <row r="19" spans="2:36" ht="15.75" thickBot="1" x14ac:dyDescent="0.3">
      <c r="B19" s="105"/>
      <c r="C19" s="2" t="s">
        <v>12</v>
      </c>
      <c r="D19" s="100" t="s">
        <v>177</v>
      </c>
      <c r="E19" s="101"/>
      <c r="F19" s="9"/>
      <c r="H19" s="105"/>
      <c r="I19" s="2" t="s">
        <v>12</v>
      </c>
      <c r="J19" s="100" t="s">
        <v>178</v>
      </c>
      <c r="K19" s="101"/>
      <c r="N19" s="105"/>
      <c r="O19" s="2" t="s">
        <v>12</v>
      </c>
      <c r="P19" s="100" t="s">
        <v>179</v>
      </c>
      <c r="Q19" s="101"/>
      <c r="T19" s="105"/>
      <c r="U19" s="2" t="s">
        <v>12</v>
      </c>
      <c r="V19" s="100" t="s">
        <v>543</v>
      </c>
      <c r="W19" s="101"/>
      <c r="Z19" s="105"/>
      <c r="AA19" s="2" t="s">
        <v>12</v>
      </c>
      <c r="AB19" s="100" t="s">
        <v>544</v>
      </c>
      <c r="AC19" s="101"/>
      <c r="AI19" s="51" t="s">
        <v>54</v>
      </c>
      <c r="AJ19" s="52">
        <f>+AJ20+AJ21</f>
        <v>4</v>
      </c>
    </row>
    <row r="20" spans="2:36" ht="15.75" thickBot="1" x14ac:dyDescent="0.3">
      <c r="B20" s="106"/>
      <c r="C20" s="3" t="s">
        <v>13</v>
      </c>
      <c r="D20" s="102" t="s">
        <v>180</v>
      </c>
      <c r="E20" s="103"/>
      <c r="F20" s="9"/>
      <c r="H20" s="106"/>
      <c r="I20" s="3" t="s">
        <v>13</v>
      </c>
      <c r="J20" s="102" t="s">
        <v>36</v>
      </c>
      <c r="K20" s="103"/>
      <c r="N20" s="106"/>
      <c r="O20" s="3" t="s">
        <v>13</v>
      </c>
      <c r="P20" s="102" t="s">
        <v>181</v>
      </c>
      <c r="Q20" s="103"/>
      <c r="T20" s="106"/>
      <c r="U20" s="3" t="s">
        <v>13</v>
      </c>
      <c r="V20" s="102" t="s">
        <v>36</v>
      </c>
      <c r="W20" s="103"/>
      <c r="Z20" s="106"/>
      <c r="AA20" s="3" t="s">
        <v>13</v>
      </c>
      <c r="AB20" s="102" t="s">
        <v>545</v>
      </c>
      <c r="AC20" s="103"/>
      <c r="AI20" s="49" t="s">
        <v>55</v>
      </c>
      <c r="AJ20" s="83">
        <v>1</v>
      </c>
    </row>
    <row r="21" spans="2:36" ht="15.75" thickBot="1" x14ac:dyDescent="0.3">
      <c r="B21" s="109" t="s">
        <v>29</v>
      </c>
      <c r="C21" s="6" t="s">
        <v>14</v>
      </c>
      <c r="D21" s="107" t="s">
        <v>182</v>
      </c>
      <c r="E21" s="108"/>
      <c r="F21" s="9"/>
      <c r="H21" s="109" t="s">
        <v>29</v>
      </c>
      <c r="I21" s="6" t="s">
        <v>14</v>
      </c>
      <c r="J21" s="107" t="s">
        <v>183</v>
      </c>
      <c r="K21" s="108"/>
      <c r="N21" s="109" t="s">
        <v>29</v>
      </c>
      <c r="O21" s="6" t="s">
        <v>14</v>
      </c>
      <c r="P21" s="107" t="s">
        <v>184</v>
      </c>
      <c r="Q21" s="108"/>
      <c r="T21" s="109" t="s">
        <v>29</v>
      </c>
      <c r="U21" s="6" t="s">
        <v>14</v>
      </c>
      <c r="V21" s="107" t="s">
        <v>37</v>
      </c>
      <c r="W21" s="108"/>
      <c r="Z21" s="109" t="s">
        <v>29</v>
      </c>
      <c r="AA21" s="6" t="s">
        <v>14</v>
      </c>
      <c r="AB21" s="107" t="s">
        <v>546</v>
      </c>
      <c r="AC21" s="108"/>
      <c r="AI21" s="47" t="s">
        <v>56</v>
      </c>
      <c r="AJ21" s="84">
        <v>3</v>
      </c>
    </row>
    <row r="22" spans="2:36" x14ac:dyDescent="0.25">
      <c r="B22" s="110"/>
      <c r="C22" s="2" t="s">
        <v>15</v>
      </c>
      <c r="D22" s="137">
        <v>14122851</v>
      </c>
      <c r="E22" s="101"/>
      <c r="F22" s="9"/>
      <c r="H22" s="110"/>
      <c r="I22" s="2" t="s">
        <v>15</v>
      </c>
      <c r="J22" s="137">
        <v>5976970</v>
      </c>
      <c r="K22" s="101"/>
      <c r="N22" s="110"/>
      <c r="O22" s="2" t="s">
        <v>15</v>
      </c>
      <c r="P22" s="137">
        <v>11204636</v>
      </c>
      <c r="Q22" s="101"/>
      <c r="T22" s="110"/>
      <c r="U22" s="2" t="s">
        <v>15</v>
      </c>
      <c r="V22" s="100" t="s">
        <v>38</v>
      </c>
      <c r="W22" s="101"/>
      <c r="Z22" s="110"/>
      <c r="AA22" s="2" t="s">
        <v>15</v>
      </c>
      <c r="AB22" s="100"/>
      <c r="AC22" s="101"/>
    </row>
    <row r="23" spans="2:36" x14ac:dyDescent="0.25">
      <c r="B23" s="110"/>
      <c r="C23" s="2" t="s">
        <v>16</v>
      </c>
      <c r="D23" s="100" t="s">
        <v>39</v>
      </c>
      <c r="E23" s="101"/>
      <c r="F23" s="9"/>
      <c r="H23" s="110"/>
      <c r="I23" s="2" t="s">
        <v>16</v>
      </c>
      <c r="J23" s="100">
        <v>4226040708</v>
      </c>
      <c r="K23" s="101"/>
      <c r="N23" s="110"/>
      <c r="O23" s="2" t="s">
        <v>16</v>
      </c>
      <c r="P23" s="100">
        <v>4265238480</v>
      </c>
      <c r="Q23" s="101"/>
      <c r="T23" s="110"/>
      <c r="U23" s="2" t="s">
        <v>16</v>
      </c>
      <c r="V23" s="100" t="s">
        <v>39</v>
      </c>
      <c r="W23" s="101"/>
      <c r="Z23" s="110"/>
      <c r="AA23" s="2" t="s">
        <v>16</v>
      </c>
      <c r="AB23" s="100">
        <v>4241842634</v>
      </c>
      <c r="AC23" s="101"/>
    </row>
    <row r="24" spans="2:36" ht="15.75" thickBot="1" x14ac:dyDescent="0.3">
      <c r="B24" s="111"/>
      <c r="C24" s="3" t="s">
        <v>17</v>
      </c>
      <c r="D24" s="102" t="s">
        <v>185</v>
      </c>
      <c r="E24" s="103"/>
      <c r="F24" s="9"/>
      <c r="H24" s="111"/>
      <c r="I24" s="3" t="s">
        <v>17</v>
      </c>
      <c r="J24" s="102" t="s">
        <v>186</v>
      </c>
      <c r="K24" s="103"/>
      <c r="N24" s="111"/>
      <c r="O24" s="3" t="s">
        <v>17</v>
      </c>
      <c r="P24" s="102" t="s">
        <v>187</v>
      </c>
      <c r="Q24" s="103"/>
      <c r="T24" s="111"/>
      <c r="U24" s="3" t="s">
        <v>17</v>
      </c>
      <c r="V24" s="102" t="s">
        <v>40</v>
      </c>
      <c r="W24" s="103"/>
      <c r="Z24" s="111"/>
      <c r="AA24" s="3" t="s">
        <v>17</v>
      </c>
      <c r="AB24" s="102" t="s">
        <v>547</v>
      </c>
      <c r="AC24" s="103"/>
    </row>
    <row r="25" spans="2:36" x14ac:dyDescent="0.25">
      <c r="B25" s="109" t="s">
        <v>30</v>
      </c>
      <c r="C25" s="6" t="s">
        <v>18</v>
      </c>
      <c r="D25" s="107" t="s">
        <v>188</v>
      </c>
      <c r="E25" s="108"/>
      <c r="F25" s="9"/>
      <c r="H25" s="109" t="s">
        <v>30</v>
      </c>
      <c r="I25" s="6" t="s">
        <v>18</v>
      </c>
      <c r="J25" s="107" t="s">
        <v>189</v>
      </c>
      <c r="K25" s="108"/>
      <c r="N25" s="109" t="s">
        <v>30</v>
      </c>
      <c r="O25" s="6" t="s">
        <v>18</v>
      </c>
      <c r="P25" s="107" t="s">
        <v>190</v>
      </c>
      <c r="Q25" s="108"/>
      <c r="T25" s="109" t="s">
        <v>30</v>
      </c>
      <c r="U25" s="6" t="s">
        <v>18</v>
      </c>
      <c r="V25" s="107" t="s">
        <v>41</v>
      </c>
      <c r="W25" s="108"/>
      <c r="Z25" s="109" t="s">
        <v>30</v>
      </c>
      <c r="AA25" s="6" t="s">
        <v>18</v>
      </c>
      <c r="AB25" s="107" t="s">
        <v>548</v>
      </c>
      <c r="AC25" s="108"/>
    </row>
    <row r="26" spans="2:36" x14ac:dyDescent="0.25">
      <c r="B26" s="110"/>
      <c r="C26" s="2" t="s">
        <v>15</v>
      </c>
      <c r="D26" s="137">
        <v>26016473</v>
      </c>
      <c r="E26" s="101"/>
      <c r="F26" s="9"/>
      <c r="H26" s="110"/>
      <c r="I26" s="2" t="s">
        <v>15</v>
      </c>
      <c r="J26" s="100">
        <v>20282742</v>
      </c>
      <c r="K26" s="101"/>
      <c r="N26" s="110"/>
      <c r="O26" s="2" t="s">
        <v>15</v>
      </c>
      <c r="P26" s="100">
        <v>20364893</v>
      </c>
      <c r="Q26" s="101"/>
      <c r="T26" s="110"/>
      <c r="U26" s="2" t="s">
        <v>15</v>
      </c>
      <c r="V26" s="100" t="s">
        <v>38</v>
      </c>
      <c r="W26" s="101"/>
      <c r="Z26" s="110"/>
      <c r="AA26" s="2" t="s">
        <v>15</v>
      </c>
      <c r="AB26" s="137">
        <v>16564276</v>
      </c>
      <c r="AC26" s="101"/>
    </row>
    <row r="27" spans="2:36" x14ac:dyDescent="0.25">
      <c r="B27" s="110"/>
      <c r="C27" s="2" t="s">
        <v>16</v>
      </c>
      <c r="D27" s="100" t="s">
        <v>191</v>
      </c>
      <c r="E27" s="101"/>
      <c r="F27" s="9"/>
      <c r="H27" s="110"/>
      <c r="I27" s="2" t="s">
        <v>16</v>
      </c>
      <c r="J27" s="100" t="s">
        <v>191</v>
      </c>
      <c r="K27" s="101"/>
      <c r="N27" s="110"/>
      <c r="O27" s="2" t="s">
        <v>16</v>
      </c>
      <c r="P27" s="100" t="s">
        <v>192</v>
      </c>
      <c r="Q27" s="101"/>
      <c r="T27" s="110"/>
      <c r="U27" s="2" t="s">
        <v>16</v>
      </c>
      <c r="V27" s="100" t="s">
        <v>39</v>
      </c>
      <c r="W27" s="101"/>
      <c r="Z27" s="110"/>
      <c r="AA27" s="2" t="s">
        <v>16</v>
      </c>
      <c r="AB27" s="100" t="s">
        <v>549</v>
      </c>
      <c r="AC27" s="101"/>
    </row>
    <row r="28" spans="2:36" x14ac:dyDescent="0.25">
      <c r="B28" s="110"/>
      <c r="C28" s="2" t="s">
        <v>19</v>
      </c>
      <c r="D28" s="100" t="s">
        <v>193</v>
      </c>
      <c r="E28" s="101"/>
      <c r="F28" s="9"/>
      <c r="H28" s="110"/>
      <c r="I28" s="2" t="s">
        <v>19</v>
      </c>
      <c r="J28" s="100" t="s">
        <v>194</v>
      </c>
      <c r="K28" s="101"/>
      <c r="N28" s="110"/>
      <c r="O28" s="2" t="s">
        <v>19</v>
      </c>
      <c r="P28" s="100" t="s">
        <v>195</v>
      </c>
      <c r="Q28" s="101"/>
      <c r="T28" s="110"/>
      <c r="U28" s="2" t="s">
        <v>19</v>
      </c>
      <c r="V28" s="100" t="s">
        <v>42</v>
      </c>
      <c r="W28" s="101"/>
      <c r="Z28" s="110"/>
      <c r="AA28" s="2" t="s">
        <v>19</v>
      </c>
      <c r="AB28" s="100" t="s">
        <v>550</v>
      </c>
      <c r="AC28" s="101"/>
    </row>
    <row r="29" spans="2:36" x14ac:dyDescent="0.25">
      <c r="B29" s="110"/>
      <c r="C29" s="2" t="s">
        <v>20</v>
      </c>
      <c r="D29" s="100">
        <v>2</v>
      </c>
      <c r="E29" s="101"/>
      <c r="F29" s="9"/>
      <c r="H29" s="110"/>
      <c r="I29" s="2" t="s">
        <v>20</v>
      </c>
      <c r="J29" s="100">
        <v>0</v>
      </c>
      <c r="K29" s="101"/>
      <c r="N29" s="110"/>
      <c r="O29" s="2" t="s">
        <v>20</v>
      </c>
      <c r="P29" s="100">
        <v>0</v>
      </c>
      <c r="Q29" s="101"/>
      <c r="T29" s="110"/>
      <c r="U29" s="2" t="s">
        <v>20</v>
      </c>
      <c r="V29" s="100" t="s">
        <v>8</v>
      </c>
      <c r="W29" s="101"/>
      <c r="Z29" s="110"/>
      <c r="AA29" s="2" t="s">
        <v>20</v>
      </c>
      <c r="AB29" s="100">
        <v>6</v>
      </c>
      <c r="AC29" s="101"/>
    </row>
    <row r="30" spans="2:36" ht="15.75" thickBot="1" x14ac:dyDescent="0.3">
      <c r="B30" s="111"/>
      <c r="C30" s="3" t="s">
        <v>21</v>
      </c>
      <c r="D30" s="102">
        <v>2</v>
      </c>
      <c r="E30" s="103"/>
      <c r="F30" s="9"/>
      <c r="H30" s="111"/>
      <c r="I30" s="3" t="s">
        <v>21</v>
      </c>
      <c r="J30" s="102">
        <v>1</v>
      </c>
      <c r="K30" s="103"/>
      <c r="N30" s="111"/>
      <c r="O30" s="3" t="s">
        <v>21</v>
      </c>
      <c r="P30" s="102" t="s">
        <v>88</v>
      </c>
      <c r="Q30" s="103"/>
      <c r="T30" s="111"/>
      <c r="U30" s="3" t="s">
        <v>21</v>
      </c>
      <c r="V30" s="102" t="s">
        <v>8</v>
      </c>
      <c r="W30" s="103"/>
      <c r="Z30" s="111"/>
      <c r="AA30" s="3" t="s">
        <v>21</v>
      </c>
      <c r="AB30" s="102">
        <v>1</v>
      </c>
      <c r="AC30" s="103"/>
    </row>
    <row r="31" spans="2:36" x14ac:dyDescent="0.25">
      <c r="B31" s="104" t="s">
        <v>32</v>
      </c>
      <c r="C31" s="6" t="s">
        <v>23</v>
      </c>
      <c r="D31" s="107" t="s">
        <v>88</v>
      </c>
      <c r="E31" s="108"/>
      <c r="F31" s="9"/>
      <c r="H31" s="104" t="s">
        <v>32</v>
      </c>
      <c r="I31" s="6" t="s">
        <v>23</v>
      </c>
      <c r="J31" s="107" t="s">
        <v>87</v>
      </c>
      <c r="K31" s="108"/>
      <c r="N31" s="104" t="s">
        <v>32</v>
      </c>
      <c r="O31" s="6" t="s">
        <v>23</v>
      </c>
      <c r="P31" s="107" t="s">
        <v>87</v>
      </c>
      <c r="Q31" s="108"/>
      <c r="T31" s="104" t="s">
        <v>32</v>
      </c>
      <c r="U31" s="6" t="s">
        <v>23</v>
      </c>
      <c r="V31" s="107" t="s">
        <v>88</v>
      </c>
      <c r="W31" s="108"/>
      <c r="Z31" s="104" t="s">
        <v>32</v>
      </c>
      <c r="AA31" s="6" t="s">
        <v>23</v>
      </c>
      <c r="AB31" s="107" t="s">
        <v>87</v>
      </c>
      <c r="AC31" s="108"/>
    </row>
    <row r="32" spans="2:36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88</v>
      </c>
      <c r="K32" s="113"/>
      <c r="N32" s="105"/>
      <c r="O32" s="2" t="s">
        <v>24</v>
      </c>
      <c r="P32" s="112" t="s">
        <v>88</v>
      </c>
      <c r="Q32" s="113"/>
      <c r="T32" s="105"/>
      <c r="U32" s="2" t="s">
        <v>24</v>
      </c>
      <c r="V32" s="112" t="s">
        <v>88</v>
      </c>
      <c r="W32" s="113"/>
      <c r="Z32" s="105"/>
      <c r="AA32" s="2" t="s">
        <v>24</v>
      </c>
      <c r="AB32" s="112" t="s">
        <v>87</v>
      </c>
      <c r="AC32" s="113"/>
    </row>
    <row r="33" spans="2:36" x14ac:dyDescent="0.25">
      <c r="B33" s="105"/>
      <c r="C33" s="2" t="s">
        <v>25</v>
      </c>
      <c r="D33" s="112" t="s">
        <v>88</v>
      </c>
      <c r="E33" s="113"/>
      <c r="F33" s="9"/>
      <c r="H33" s="105"/>
      <c r="I33" s="2" t="s">
        <v>25</v>
      </c>
      <c r="J33" s="112" t="s">
        <v>88</v>
      </c>
      <c r="K33" s="113"/>
      <c r="N33" s="105"/>
      <c r="O33" s="2" t="s">
        <v>25</v>
      </c>
      <c r="P33" s="112" t="s">
        <v>87</v>
      </c>
      <c r="Q33" s="113"/>
      <c r="T33" s="105"/>
      <c r="U33" s="2" t="s">
        <v>25</v>
      </c>
      <c r="V33" s="112" t="s">
        <v>88</v>
      </c>
      <c r="W33" s="113"/>
      <c r="Z33" s="105"/>
      <c r="AA33" s="2" t="s">
        <v>25</v>
      </c>
      <c r="AB33" s="112" t="s">
        <v>87</v>
      </c>
      <c r="AC33" s="113"/>
    </row>
    <row r="34" spans="2:36" ht="15.75" thickBot="1" x14ac:dyDescent="0.3">
      <c r="B34" s="105"/>
      <c r="C34" s="7" t="s">
        <v>26</v>
      </c>
      <c r="D34" s="114" t="s">
        <v>88</v>
      </c>
      <c r="E34" s="115"/>
      <c r="F34" s="9"/>
      <c r="H34" s="105"/>
      <c r="I34" s="7" t="s">
        <v>26</v>
      </c>
      <c r="J34" s="114" t="s">
        <v>88</v>
      </c>
      <c r="K34" s="115"/>
      <c r="N34" s="105"/>
      <c r="O34" s="7" t="s">
        <v>26</v>
      </c>
      <c r="P34" s="114" t="s">
        <v>87</v>
      </c>
      <c r="Q34" s="115"/>
      <c r="T34" s="105"/>
      <c r="U34" s="7" t="s">
        <v>26</v>
      </c>
      <c r="V34" s="114" t="s">
        <v>88</v>
      </c>
      <c r="W34" s="115"/>
      <c r="Z34" s="105"/>
      <c r="AA34" s="7" t="s">
        <v>26</v>
      </c>
      <c r="AB34" s="114" t="s">
        <v>87</v>
      </c>
      <c r="AC34" s="115"/>
    </row>
    <row r="35" spans="2:36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  <c r="AF35" s="21"/>
    </row>
    <row r="36" spans="2:36" ht="15" customHeight="1" x14ac:dyDescent="0.25">
      <c r="B36" s="110"/>
      <c r="C36" s="119" t="s">
        <v>196</v>
      </c>
      <c r="D36" s="120"/>
      <c r="E36" s="120"/>
      <c r="F36" s="121"/>
      <c r="H36" s="110"/>
      <c r="I36" s="146" t="s">
        <v>197</v>
      </c>
      <c r="J36" s="120"/>
      <c r="K36" s="120"/>
      <c r="L36" s="121"/>
      <c r="N36" s="110"/>
      <c r="O36" s="119" t="s">
        <v>43</v>
      </c>
      <c r="P36" s="120"/>
      <c r="Q36" s="120"/>
      <c r="R36" s="121"/>
      <c r="T36" s="110"/>
      <c r="U36" s="146" t="s">
        <v>551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  <c r="AF36" s="22"/>
    </row>
    <row r="37" spans="2:36" x14ac:dyDescent="0.25">
      <c r="B37" s="110"/>
      <c r="C37" s="122" t="s">
        <v>43</v>
      </c>
      <c r="D37" s="123"/>
      <c r="E37" s="123"/>
      <c r="F37" s="124"/>
      <c r="H37" s="110"/>
      <c r="I37" s="122" t="s">
        <v>43</v>
      </c>
      <c r="J37" s="123"/>
      <c r="K37" s="123"/>
      <c r="L37" s="124"/>
      <c r="N37" s="110"/>
      <c r="O37" s="122" t="s">
        <v>43</v>
      </c>
      <c r="P37" s="123"/>
      <c r="Q37" s="123"/>
      <c r="R37" s="124"/>
      <c r="T37" s="110"/>
      <c r="U37" s="122" t="s">
        <v>552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  <c r="AF37" s="22"/>
    </row>
    <row r="38" spans="2:36" x14ac:dyDescent="0.25">
      <c r="B38" s="110"/>
      <c r="C38" s="122" t="s">
        <v>43</v>
      </c>
      <c r="D38" s="123"/>
      <c r="E38" s="123"/>
      <c r="F38" s="124"/>
      <c r="H38" s="110"/>
      <c r="I38" s="122" t="s">
        <v>43</v>
      </c>
      <c r="J38" s="123"/>
      <c r="K38" s="123"/>
      <c r="L38" s="124"/>
      <c r="N38" s="110"/>
      <c r="O38" s="122" t="s">
        <v>43</v>
      </c>
      <c r="P38" s="123"/>
      <c r="Q38" s="123"/>
      <c r="R38" s="124"/>
      <c r="T38" s="110"/>
      <c r="U38" s="122" t="s">
        <v>43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  <c r="AF38" s="22"/>
    </row>
    <row r="39" spans="2:36" ht="15.75" thickBot="1" x14ac:dyDescent="0.3">
      <c r="B39" s="111"/>
      <c r="C39" s="125" t="s">
        <v>43</v>
      </c>
      <c r="D39" s="126"/>
      <c r="E39" s="126"/>
      <c r="F39" s="127"/>
      <c r="H39" s="111"/>
      <c r="I39" s="125" t="s">
        <v>43</v>
      </c>
      <c r="J39" s="126"/>
      <c r="K39" s="126"/>
      <c r="L39" s="127"/>
      <c r="N39" s="111"/>
      <c r="O39" s="125" t="s">
        <v>43</v>
      </c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  <c r="AF39" s="22"/>
    </row>
    <row r="40" spans="2:36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G40" s="18"/>
      <c r="AJ40" s="11"/>
    </row>
    <row r="41" spans="2:36" s="9" customFormat="1" x14ac:dyDescent="0.25">
      <c r="B41" s="10"/>
      <c r="C41" s="13" t="s">
        <v>44</v>
      </c>
      <c r="D41" s="130" t="s">
        <v>170</v>
      </c>
      <c r="E41" s="131"/>
      <c r="F41" s="132"/>
      <c r="H41" s="10"/>
      <c r="I41" s="13" t="s">
        <v>44</v>
      </c>
      <c r="J41" s="130" t="s">
        <v>170</v>
      </c>
      <c r="K41" s="131"/>
      <c r="L41" s="132"/>
      <c r="N41" s="10"/>
      <c r="O41" s="13" t="s">
        <v>44</v>
      </c>
      <c r="P41" s="130" t="s">
        <v>170</v>
      </c>
      <c r="Q41" s="131"/>
      <c r="R41" s="132"/>
      <c r="T41" s="10"/>
      <c r="U41" s="13" t="s">
        <v>44</v>
      </c>
      <c r="V41" s="130" t="s">
        <v>170</v>
      </c>
      <c r="W41" s="131"/>
      <c r="X41" s="132"/>
      <c r="Y41" s="23"/>
      <c r="Z41" s="10"/>
      <c r="AA41" s="13" t="s">
        <v>44</v>
      </c>
      <c r="AB41" s="130" t="s">
        <v>170</v>
      </c>
      <c r="AC41" s="131"/>
      <c r="AD41" s="132"/>
      <c r="AE41" s="23"/>
      <c r="AF41" s="23"/>
      <c r="AG41" s="18"/>
      <c r="AJ41" s="11"/>
    </row>
    <row r="42" spans="2:36" s="9" customFormat="1" ht="15.75" thickBot="1" x14ac:dyDescent="0.3">
      <c r="B42" s="10"/>
      <c r="C42" s="14" t="s">
        <v>45</v>
      </c>
      <c r="D42" s="128" t="s">
        <v>198</v>
      </c>
      <c r="E42" s="128"/>
      <c r="F42" s="129"/>
      <c r="H42" s="10"/>
      <c r="I42" s="14" t="s">
        <v>45</v>
      </c>
      <c r="J42" s="128" t="s">
        <v>198</v>
      </c>
      <c r="K42" s="128"/>
      <c r="L42" s="129"/>
      <c r="N42" s="10"/>
      <c r="O42" s="14" t="s">
        <v>45</v>
      </c>
      <c r="P42" s="128" t="s">
        <v>198</v>
      </c>
      <c r="Q42" s="128"/>
      <c r="R42" s="129"/>
      <c r="T42" s="10"/>
      <c r="U42" s="14" t="s">
        <v>45</v>
      </c>
      <c r="V42" s="128" t="s">
        <v>198</v>
      </c>
      <c r="W42" s="128"/>
      <c r="X42" s="129"/>
      <c r="Y42" s="23"/>
      <c r="Z42" s="10"/>
      <c r="AA42" s="14" t="s">
        <v>45</v>
      </c>
      <c r="AB42" s="128" t="s">
        <v>198</v>
      </c>
      <c r="AC42" s="128"/>
      <c r="AD42" s="129"/>
      <c r="AE42" s="23"/>
      <c r="AF42" s="23"/>
      <c r="AG42" s="18"/>
      <c r="AJ42" s="11"/>
    </row>
    <row r="43" spans="2:36" s="9" customFormat="1" x14ac:dyDescent="0.25">
      <c r="B43" s="10"/>
      <c r="D43" s="11"/>
      <c r="AG43" s="18"/>
      <c r="AJ43" s="11"/>
    </row>
    <row r="44" spans="2:36" s="9" customFormat="1" x14ac:dyDescent="0.25">
      <c r="B44" s="10"/>
      <c r="D44" s="11"/>
      <c r="AG44" s="18"/>
      <c r="AJ44" s="11"/>
    </row>
    <row r="45" spans="2:36" s="9" customFormat="1" x14ac:dyDescent="0.25">
      <c r="B45" s="10"/>
      <c r="D45" s="11"/>
      <c r="AG45" s="18"/>
      <c r="AJ45" s="11"/>
    </row>
    <row r="46" spans="2:36" s="9" customFormat="1" x14ac:dyDescent="0.25">
      <c r="B46" s="10"/>
      <c r="D46" s="11"/>
      <c r="AG46" s="18"/>
      <c r="AJ46" s="11"/>
    </row>
    <row r="47" spans="2:36" s="9" customFormat="1" x14ac:dyDescent="0.25">
      <c r="B47" s="10"/>
      <c r="D47" s="11"/>
      <c r="AG47" s="18"/>
      <c r="AJ47" s="11"/>
    </row>
    <row r="48" spans="2:36" s="9" customFormat="1" x14ac:dyDescent="0.25">
      <c r="B48" s="10"/>
      <c r="D48" s="11"/>
      <c r="AG48" s="18"/>
      <c r="AJ48" s="11"/>
    </row>
    <row r="49" spans="2:36" s="9" customFormat="1" x14ac:dyDescent="0.25">
      <c r="B49" s="10"/>
      <c r="D49" s="11"/>
      <c r="AG49" s="18"/>
      <c r="AJ49" s="11"/>
    </row>
    <row r="50" spans="2:36" s="9" customFormat="1" x14ac:dyDescent="0.25">
      <c r="B50" s="10"/>
      <c r="D50" s="11"/>
      <c r="AG50" s="18"/>
      <c r="AJ50" s="11"/>
    </row>
    <row r="51" spans="2:36" s="9" customFormat="1" x14ac:dyDescent="0.25">
      <c r="B51" s="10"/>
      <c r="D51" s="11"/>
      <c r="AG51" s="18"/>
      <c r="AJ51" s="11"/>
    </row>
    <row r="52" spans="2:36" s="9" customFormat="1" x14ac:dyDescent="0.25">
      <c r="B52" s="10"/>
      <c r="D52" s="11"/>
      <c r="AG52" s="18"/>
      <c r="AJ52" s="11"/>
    </row>
    <row r="53" spans="2:36" s="9" customFormat="1" x14ac:dyDescent="0.25">
      <c r="B53" s="10"/>
      <c r="D53" s="11"/>
      <c r="AG53" s="18"/>
      <c r="AJ53" s="11"/>
    </row>
    <row r="54" spans="2:36" s="9" customFormat="1" x14ac:dyDescent="0.25">
      <c r="B54" s="10"/>
      <c r="D54" s="11"/>
      <c r="AG54" s="18"/>
      <c r="AJ54" s="11"/>
    </row>
    <row r="55" spans="2:36" s="9" customFormat="1" x14ac:dyDescent="0.25">
      <c r="B55" s="10"/>
      <c r="D55" s="11"/>
      <c r="AG55" s="18"/>
      <c r="AJ55" s="11"/>
    </row>
    <row r="56" spans="2:36" s="9" customFormat="1" x14ac:dyDescent="0.25">
      <c r="B56" s="10"/>
      <c r="D56" s="11"/>
      <c r="AG56" s="18"/>
      <c r="AJ56" s="11"/>
    </row>
    <row r="57" spans="2:36" s="9" customFormat="1" x14ac:dyDescent="0.25">
      <c r="B57" s="10"/>
      <c r="D57" s="11"/>
      <c r="AG57" s="18"/>
      <c r="AJ57" s="11"/>
    </row>
    <row r="58" spans="2:36" s="9" customFormat="1" x14ac:dyDescent="0.25">
      <c r="B58" s="10"/>
      <c r="D58" s="11"/>
      <c r="AG58" s="18"/>
      <c r="AJ58" s="11"/>
    </row>
    <row r="59" spans="2:36" s="9" customFormat="1" x14ac:dyDescent="0.25">
      <c r="B59" s="10"/>
      <c r="D59" s="11"/>
      <c r="AG59" s="18"/>
      <c r="AJ59" s="11"/>
    </row>
    <row r="60" spans="2:36" s="9" customFormat="1" x14ac:dyDescent="0.25">
      <c r="B60" s="10"/>
      <c r="D60" s="11"/>
      <c r="AG60" s="18"/>
      <c r="AJ60" s="11"/>
    </row>
    <row r="61" spans="2:36" s="9" customFormat="1" x14ac:dyDescent="0.25">
      <c r="B61" s="10"/>
      <c r="D61" s="11"/>
      <c r="AG61" s="18"/>
      <c r="AJ61" s="11"/>
    </row>
    <row r="62" spans="2:36" s="9" customFormat="1" x14ac:dyDescent="0.25">
      <c r="B62" s="10"/>
      <c r="D62" s="11"/>
      <c r="AG62" s="18"/>
      <c r="AJ62" s="11"/>
    </row>
    <row r="63" spans="2:36" s="9" customFormat="1" x14ac:dyDescent="0.25">
      <c r="B63" s="10"/>
      <c r="D63" s="11"/>
      <c r="AG63" s="18"/>
      <c r="AJ63" s="11"/>
    </row>
    <row r="64" spans="2:36" s="9" customFormat="1" x14ac:dyDescent="0.25">
      <c r="B64" s="10"/>
      <c r="D64" s="11"/>
      <c r="AG64" s="18"/>
      <c r="AJ64" s="11"/>
    </row>
    <row r="65" spans="2:36" s="9" customFormat="1" x14ac:dyDescent="0.25">
      <c r="B65" s="10"/>
      <c r="D65" s="11"/>
      <c r="AG65" s="18"/>
      <c r="AJ65" s="11"/>
    </row>
    <row r="66" spans="2:36" s="9" customFormat="1" x14ac:dyDescent="0.25">
      <c r="B66" s="10"/>
      <c r="D66" s="11"/>
      <c r="AG66" s="18"/>
      <c r="AJ66" s="11"/>
    </row>
    <row r="67" spans="2:36" s="9" customFormat="1" x14ac:dyDescent="0.25">
      <c r="B67" s="10"/>
      <c r="D67" s="11"/>
      <c r="AG67" s="18"/>
      <c r="AJ67" s="11"/>
    </row>
    <row r="68" spans="2:36" s="9" customFormat="1" x14ac:dyDescent="0.25">
      <c r="B68" s="10"/>
      <c r="D68" s="11"/>
      <c r="AG68" s="18"/>
      <c r="AJ68" s="11"/>
    </row>
    <row r="69" spans="2:36" s="9" customFormat="1" x14ac:dyDescent="0.25">
      <c r="B69" s="10"/>
      <c r="D69" s="11"/>
      <c r="AG69" s="18"/>
      <c r="AJ69" s="11"/>
    </row>
    <row r="70" spans="2:36" s="9" customFormat="1" x14ac:dyDescent="0.25">
      <c r="B70" s="10"/>
      <c r="D70" s="11"/>
      <c r="AG70" s="18"/>
      <c r="AJ70" s="11"/>
    </row>
    <row r="71" spans="2:36" s="9" customFormat="1" x14ac:dyDescent="0.25">
      <c r="B71" s="10"/>
      <c r="D71" s="11"/>
      <c r="AG71" s="18"/>
      <c r="AJ71" s="11"/>
    </row>
    <row r="72" spans="2:36" s="9" customFormat="1" x14ac:dyDescent="0.25">
      <c r="B72" s="10"/>
      <c r="D72" s="11"/>
      <c r="AG72" s="18"/>
      <c r="AJ72" s="11"/>
    </row>
    <row r="73" spans="2:36" s="9" customFormat="1" x14ac:dyDescent="0.25">
      <c r="B73" s="10"/>
      <c r="D73" s="11"/>
      <c r="AG73" s="18"/>
      <c r="AJ73" s="11"/>
    </row>
    <row r="74" spans="2:36" s="9" customFormat="1" x14ac:dyDescent="0.25">
      <c r="B74" s="10"/>
      <c r="D74" s="11"/>
      <c r="AG74" s="18"/>
      <c r="AJ74" s="11"/>
    </row>
    <row r="75" spans="2:36" s="9" customFormat="1" x14ac:dyDescent="0.25">
      <c r="B75" s="10"/>
      <c r="D75" s="11"/>
      <c r="AG75" s="18"/>
      <c r="AJ75" s="11"/>
    </row>
    <row r="76" spans="2:36" s="9" customFormat="1" x14ac:dyDescent="0.25">
      <c r="B76" s="10"/>
      <c r="D76" s="11"/>
      <c r="AG76" s="18"/>
      <c r="AJ76" s="11"/>
    </row>
    <row r="77" spans="2:36" s="9" customFormat="1" x14ac:dyDescent="0.25">
      <c r="B77" s="10"/>
      <c r="D77" s="11"/>
      <c r="AG77" s="18"/>
      <c r="AJ77" s="11"/>
    </row>
    <row r="78" spans="2:36" s="9" customFormat="1" x14ac:dyDescent="0.25">
      <c r="B78" s="10"/>
      <c r="D78" s="11"/>
      <c r="AG78" s="18"/>
      <c r="AJ78" s="11"/>
    </row>
    <row r="79" spans="2:36" s="9" customFormat="1" x14ac:dyDescent="0.25">
      <c r="B79" s="10"/>
      <c r="D79" s="11"/>
      <c r="AG79" s="18"/>
      <c r="AJ79" s="11"/>
    </row>
    <row r="80" spans="2:36" s="9" customFormat="1" x14ac:dyDescent="0.25">
      <c r="B80" s="10"/>
      <c r="D80" s="11"/>
      <c r="AG80" s="18"/>
      <c r="AJ80" s="11"/>
    </row>
    <row r="81" spans="2:36" s="9" customFormat="1" x14ac:dyDescent="0.25">
      <c r="B81" s="10"/>
      <c r="D81" s="11"/>
      <c r="AG81" s="18"/>
      <c r="AJ81" s="11"/>
    </row>
    <row r="82" spans="2:36" s="9" customFormat="1" x14ac:dyDescent="0.25">
      <c r="B82" s="10"/>
      <c r="D82" s="11"/>
      <c r="AG82" s="18"/>
      <c r="AJ82" s="11"/>
    </row>
    <row r="83" spans="2:36" s="9" customFormat="1" x14ac:dyDescent="0.25">
      <c r="B83" s="10"/>
      <c r="D83" s="11"/>
      <c r="AG83" s="18"/>
      <c r="AJ83" s="11"/>
    </row>
    <row r="84" spans="2:36" s="9" customFormat="1" x14ac:dyDescent="0.25">
      <c r="B84" s="10"/>
      <c r="D84" s="11"/>
      <c r="AG84" s="18"/>
      <c r="AJ84" s="11"/>
    </row>
    <row r="85" spans="2:36" s="9" customFormat="1" x14ac:dyDescent="0.25">
      <c r="B85" s="10"/>
      <c r="D85" s="11"/>
      <c r="AG85" s="18"/>
      <c r="AJ85" s="11"/>
    </row>
    <row r="86" spans="2:36" s="9" customFormat="1" x14ac:dyDescent="0.25">
      <c r="B86" s="10"/>
      <c r="D86" s="11"/>
      <c r="AG86" s="18"/>
      <c r="AJ86" s="11"/>
    </row>
    <row r="87" spans="2:36" s="9" customFormat="1" x14ac:dyDescent="0.25">
      <c r="B87" s="10"/>
      <c r="D87" s="11"/>
      <c r="AG87" s="18"/>
      <c r="AJ87" s="11"/>
    </row>
    <row r="88" spans="2:36" s="9" customFormat="1" x14ac:dyDescent="0.25">
      <c r="B88" s="10"/>
      <c r="D88" s="11"/>
      <c r="AG88" s="18"/>
      <c r="AJ88" s="11"/>
    </row>
    <row r="89" spans="2:36" s="9" customFormat="1" x14ac:dyDescent="0.25">
      <c r="B89" s="10"/>
      <c r="D89" s="11"/>
      <c r="AG89" s="18"/>
      <c r="AJ89" s="11"/>
    </row>
    <row r="90" spans="2:36" s="9" customFormat="1" x14ac:dyDescent="0.25">
      <c r="B90" s="10"/>
      <c r="D90" s="11"/>
      <c r="AG90" s="18"/>
      <c r="AJ90" s="11"/>
    </row>
    <row r="91" spans="2:36" s="9" customFormat="1" x14ac:dyDescent="0.25">
      <c r="B91" s="10"/>
      <c r="D91" s="11"/>
      <c r="AG91" s="18"/>
      <c r="AJ91" s="11"/>
    </row>
    <row r="92" spans="2:36" s="9" customFormat="1" x14ac:dyDescent="0.25">
      <c r="B92" s="10"/>
      <c r="D92" s="11"/>
      <c r="AG92" s="18"/>
      <c r="AJ92" s="11"/>
    </row>
    <row r="93" spans="2:36" s="9" customFormat="1" x14ac:dyDescent="0.25">
      <c r="B93" s="10"/>
      <c r="D93" s="11"/>
      <c r="AG93" s="18"/>
      <c r="AJ93" s="11"/>
    </row>
    <row r="94" spans="2:36" s="9" customFormat="1" x14ac:dyDescent="0.25">
      <c r="B94" s="10"/>
      <c r="D94" s="11"/>
      <c r="AG94" s="18"/>
      <c r="AJ94" s="11"/>
    </row>
    <row r="95" spans="2:36" s="9" customFormat="1" x14ac:dyDescent="0.25">
      <c r="B95" s="10"/>
      <c r="D95" s="11"/>
      <c r="AG95" s="18"/>
      <c r="AJ95" s="11"/>
    </row>
    <row r="96" spans="2:36" s="9" customFormat="1" x14ac:dyDescent="0.25">
      <c r="B96" s="10"/>
      <c r="D96" s="11"/>
      <c r="AG96" s="18"/>
      <c r="AJ96" s="11"/>
    </row>
    <row r="97" spans="2:36" s="9" customFormat="1" x14ac:dyDescent="0.25">
      <c r="B97" s="10"/>
      <c r="D97" s="11"/>
      <c r="AG97" s="18"/>
      <c r="AJ97" s="11"/>
    </row>
    <row r="98" spans="2:36" s="9" customFormat="1" x14ac:dyDescent="0.25">
      <c r="B98" s="10"/>
      <c r="D98" s="11"/>
      <c r="AG98" s="18"/>
      <c r="AJ98" s="11"/>
    </row>
    <row r="99" spans="2:36" s="9" customFormat="1" x14ac:dyDescent="0.25">
      <c r="B99" s="10"/>
      <c r="D99" s="11"/>
      <c r="AG99" s="18"/>
      <c r="AJ99" s="11"/>
    </row>
    <row r="100" spans="2:36" s="9" customFormat="1" x14ac:dyDescent="0.25">
      <c r="B100" s="10"/>
      <c r="D100" s="11"/>
      <c r="AG100" s="18"/>
      <c r="AJ100" s="11"/>
    </row>
    <row r="101" spans="2:36" s="9" customFormat="1" x14ac:dyDescent="0.25">
      <c r="B101" s="10"/>
      <c r="D101" s="11"/>
      <c r="AG101" s="18"/>
      <c r="AJ101" s="11"/>
    </row>
    <row r="102" spans="2:36" s="9" customFormat="1" x14ac:dyDescent="0.25">
      <c r="B102" s="10"/>
      <c r="D102" s="11"/>
      <c r="AG102" s="18"/>
      <c r="AJ102" s="11"/>
    </row>
    <row r="103" spans="2:36" s="9" customFormat="1" x14ac:dyDescent="0.25">
      <c r="B103" s="10"/>
      <c r="D103" s="11"/>
      <c r="AG103" s="18"/>
      <c r="AJ103" s="11"/>
    </row>
    <row r="104" spans="2:36" s="9" customFormat="1" x14ac:dyDescent="0.25">
      <c r="B104" s="10"/>
      <c r="D104" s="11"/>
      <c r="AG104" s="18"/>
      <c r="AJ104" s="11"/>
    </row>
    <row r="105" spans="2:36" s="9" customFormat="1" x14ac:dyDescent="0.25">
      <c r="B105" s="10"/>
      <c r="D105" s="11"/>
      <c r="AG105" s="18"/>
      <c r="AJ105" s="11"/>
    </row>
    <row r="106" spans="2:36" s="9" customFormat="1" x14ac:dyDescent="0.25">
      <c r="B106" s="10"/>
      <c r="D106" s="11"/>
      <c r="AG106" s="18"/>
      <c r="AJ106" s="11"/>
    </row>
    <row r="107" spans="2:36" s="9" customFormat="1" x14ac:dyDescent="0.25">
      <c r="B107" s="10"/>
      <c r="D107" s="11"/>
      <c r="AG107" s="18"/>
      <c r="AJ107" s="11"/>
    </row>
    <row r="108" spans="2:36" s="9" customFormat="1" x14ac:dyDescent="0.25">
      <c r="B108" s="10"/>
      <c r="D108" s="11"/>
      <c r="AG108" s="18"/>
      <c r="AJ108" s="11"/>
    </row>
    <row r="109" spans="2:36" s="9" customFormat="1" x14ac:dyDescent="0.25">
      <c r="B109" s="10"/>
      <c r="D109" s="11"/>
      <c r="AG109" s="18"/>
      <c r="AJ109" s="11"/>
    </row>
    <row r="110" spans="2:36" s="9" customFormat="1" x14ac:dyDescent="0.25">
      <c r="B110" s="10"/>
      <c r="D110" s="11"/>
      <c r="AG110" s="18"/>
      <c r="AJ110" s="11"/>
    </row>
    <row r="111" spans="2:36" s="9" customFormat="1" x14ac:dyDescent="0.25">
      <c r="B111" s="10"/>
      <c r="D111" s="11"/>
      <c r="AG111" s="18"/>
      <c r="AJ111" s="11"/>
    </row>
    <row r="112" spans="2:36" s="9" customFormat="1" x14ac:dyDescent="0.25">
      <c r="B112" s="10"/>
      <c r="D112" s="11"/>
      <c r="AG112" s="18"/>
      <c r="AJ112" s="11"/>
    </row>
    <row r="113" spans="2:36" s="9" customFormat="1" x14ac:dyDescent="0.25">
      <c r="B113" s="10"/>
      <c r="D113" s="11"/>
      <c r="AG113" s="18"/>
      <c r="AJ113" s="11"/>
    </row>
    <row r="114" spans="2:36" s="9" customFormat="1" x14ac:dyDescent="0.25">
      <c r="B114" s="10"/>
      <c r="D114" s="11"/>
      <c r="AG114" s="18"/>
      <c r="AJ114" s="11"/>
    </row>
    <row r="115" spans="2:36" s="9" customFormat="1" x14ac:dyDescent="0.25">
      <c r="B115" s="10"/>
      <c r="D115" s="11"/>
      <c r="AG115" s="18"/>
      <c r="AJ115" s="11"/>
    </row>
    <row r="116" spans="2:36" s="9" customFormat="1" x14ac:dyDescent="0.25">
      <c r="B116" s="10"/>
      <c r="D116" s="11"/>
      <c r="AG116" s="18"/>
      <c r="AJ116" s="11"/>
    </row>
    <row r="117" spans="2:36" s="9" customFormat="1" x14ac:dyDescent="0.25">
      <c r="B117" s="10"/>
      <c r="D117" s="11"/>
      <c r="AG117" s="18"/>
      <c r="AJ117" s="11"/>
    </row>
    <row r="118" spans="2:36" s="9" customFormat="1" x14ac:dyDescent="0.25">
      <c r="B118" s="10"/>
      <c r="D118" s="11"/>
      <c r="AG118" s="18"/>
      <c r="AJ118" s="11"/>
    </row>
    <row r="119" spans="2:36" s="9" customFormat="1" x14ac:dyDescent="0.25">
      <c r="B119" s="10"/>
      <c r="D119" s="11"/>
      <c r="AG119" s="18"/>
      <c r="AJ119" s="11"/>
    </row>
    <row r="120" spans="2:36" s="9" customFormat="1" x14ac:dyDescent="0.25">
      <c r="B120" s="10"/>
      <c r="D120" s="11"/>
      <c r="AG120" s="18"/>
      <c r="AJ120" s="11"/>
    </row>
    <row r="121" spans="2:36" s="9" customFormat="1" x14ac:dyDescent="0.25">
      <c r="B121" s="10"/>
      <c r="D121" s="11"/>
      <c r="AG121" s="18"/>
      <c r="AJ121" s="11"/>
    </row>
    <row r="122" spans="2:36" s="9" customFormat="1" x14ac:dyDescent="0.25">
      <c r="B122" s="10"/>
      <c r="D122" s="11"/>
      <c r="AG122" s="18"/>
      <c r="AJ122" s="11"/>
    </row>
    <row r="123" spans="2:36" s="9" customFormat="1" x14ac:dyDescent="0.25">
      <c r="B123" s="10"/>
      <c r="D123" s="11"/>
      <c r="AG123" s="18"/>
      <c r="AJ123" s="11"/>
    </row>
    <row r="124" spans="2:36" s="9" customFormat="1" x14ac:dyDescent="0.25">
      <c r="B124" s="10"/>
      <c r="D124" s="11"/>
      <c r="AG124" s="18"/>
      <c r="AJ124" s="11"/>
    </row>
    <row r="125" spans="2:36" s="9" customFormat="1" x14ac:dyDescent="0.25">
      <c r="B125" s="10"/>
      <c r="D125" s="11"/>
      <c r="AG125" s="18"/>
      <c r="AJ125" s="11"/>
    </row>
    <row r="126" spans="2:36" s="9" customFormat="1" x14ac:dyDescent="0.25">
      <c r="B126" s="10"/>
      <c r="D126" s="11"/>
      <c r="AG126" s="18"/>
      <c r="AJ126" s="11"/>
    </row>
    <row r="127" spans="2:36" s="9" customFormat="1" x14ac:dyDescent="0.25">
      <c r="B127" s="10"/>
      <c r="D127" s="11"/>
      <c r="AG127" s="18"/>
      <c r="AJ127" s="11"/>
    </row>
    <row r="128" spans="2:36" s="9" customFormat="1" x14ac:dyDescent="0.25">
      <c r="B128" s="10"/>
      <c r="D128" s="11"/>
      <c r="AG128" s="18"/>
      <c r="AJ128" s="11"/>
    </row>
    <row r="129" spans="2:36" s="9" customFormat="1" x14ac:dyDescent="0.25">
      <c r="B129" s="10"/>
      <c r="D129" s="11"/>
      <c r="AG129" s="18"/>
      <c r="AJ129" s="11"/>
    </row>
    <row r="130" spans="2:36" s="9" customFormat="1" x14ac:dyDescent="0.25">
      <c r="B130" s="10"/>
      <c r="D130" s="11"/>
      <c r="AG130" s="18"/>
      <c r="AJ130" s="11"/>
    </row>
    <row r="131" spans="2:36" s="9" customFormat="1" x14ac:dyDescent="0.25">
      <c r="B131" s="10"/>
      <c r="D131" s="11"/>
      <c r="AG131" s="18"/>
      <c r="AJ131" s="11"/>
    </row>
    <row r="132" spans="2:36" s="9" customFormat="1" x14ac:dyDescent="0.25">
      <c r="B132" s="10"/>
      <c r="D132" s="11"/>
      <c r="AG132" s="18"/>
      <c r="AJ132" s="11"/>
    </row>
    <row r="133" spans="2:36" s="9" customFormat="1" x14ac:dyDescent="0.25">
      <c r="B133" s="10"/>
      <c r="D133" s="11"/>
      <c r="AG133" s="18"/>
      <c r="AJ133" s="11"/>
    </row>
    <row r="134" spans="2:36" s="9" customFormat="1" x14ac:dyDescent="0.25">
      <c r="B134" s="10"/>
      <c r="D134" s="11"/>
      <c r="AG134" s="18"/>
      <c r="AJ134" s="11"/>
    </row>
    <row r="135" spans="2:36" s="9" customFormat="1" x14ac:dyDescent="0.25">
      <c r="B135" s="10"/>
      <c r="D135" s="11"/>
      <c r="AG135" s="18"/>
      <c r="AJ135" s="11"/>
    </row>
    <row r="136" spans="2:36" s="9" customFormat="1" x14ac:dyDescent="0.25">
      <c r="B136" s="10"/>
      <c r="D136" s="11"/>
      <c r="AG136" s="18"/>
      <c r="AJ136" s="11"/>
    </row>
    <row r="137" spans="2:36" s="9" customFormat="1" x14ac:dyDescent="0.25">
      <c r="B137" s="10"/>
      <c r="D137" s="11"/>
      <c r="AG137" s="18"/>
      <c r="AJ137" s="11"/>
    </row>
    <row r="138" spans="2:36" s="9" customFormat="1" x14ac:dyDescent="0.25">
      <c r="B138" s="10"/>
      <c r="D138" s="11"/>
      <c r="AG138" s="18"/>
      <c r="AJ138" s="11"/>
    </row>
    <row r="139" spans="2:36" s="9" customFormat="1" x14ac:dyDescent="0.25">
      <c r="B139" s="10"/>
      <c r="D139" s="11"/>
      <c r="AG139" s="18"/>
      <c r="AJ139" s="11"/>
    </row>
    <row r="140" spans="2:36" s="9" customFormat="1" x14ac:dyDescent="0.25">
      <c r="B140" s="10"/>
      <c r="D140" s="11"/>
      <c r="AG140" s="18"/>
      <c r="AJ140" s="11"/>
    </row>
    <row r="141" spans="2:36" s="9" customFormat="1" x14ac:dyDescent="0.25">
      <c r="B141" s="10"/>
      <c r="D141" s="11"/>
      <c r="AG141" s="18"/>
      <c r="AJ141" s="11"/>
    </row>
    <row r="142" spans="2:36" s="9" customFormat="1" x14ac:dyDescent="0.25">
      <c r="B142" s="10"/>
      <c r="D142" s="11"/>
      <c r="AG142" s="18"/>
      <c r="AJ142" s="11"/>
    </row>
    <row r="143" spans="2:36" s="9" customFormat="1" x14ac:dyDescent="0.25">
      <c r="B143" s="10"/>
      <c r="D143" s="11"/>
      <c r="AG143" s="18"/>
      <c r="AJ143" s="11"/>
    </row>
    <row r="144" spans="2:36" s="9" customFormat="1" x14ac:dyDescent="0.25">
      <c r="B144" s="10"/>
      <c r="D144" s="11"/>
      <c r="AG144" s="18"/>
      <c r="AJ144" s="11"/>
    </row>
    <row r="145" spans="2:36" s="9" customFormat="1" x14ac:dyDescent="0.25">
      <c r="B145" s="10"/>
      <c r="D145" s="11"/>
      <c r="AG145" s="18"/>
      <c r="AJ145" s="11"/>
    </row>
    <row r="146" spans="2:36" s="9" customFormat="1" x14ac:dyDescent="0.25">
      <c r="B146" s="10"/>
      <c r="D146" s="11"/>
      <c r="AG146" s="18"/>
      <c r="AJ146" s="11"/>
    </row>
    <row r="147" spans="2:36" s="9" customFormat="1" x14ac:dyDescent="0.25">
      <c r="B147" s="10"/>
      <c r="D147" s="11"/>
      <c r="AG147" s="18"/>
      <c r="AJ147" s="11"/>
    </row>
    <row r="148" spans="2:36" s="9" customFormat="1" x14ac:dyDescent="0.25">
      <c r="B148" s="10"/>
      <c r="D148" s="11"/>
      <c r="AG148" s="18"/>
      <c r="AJ148" s="11"/>
    </row>
    <row r="149" spans="2:36" s="9" customFormat="1" x14ac:dyDescent="0.25">
      <c r="B149" s="10"/>
      <c r="D149" s="11"/>
      <c r="AG149" s="18"/>
      <c r="AJ149" s="11"/>
    </row>
    <row r="150" spans="2:36" s="9" customFormat="1" x14ac:dyDescent="0.25">
      <c r="B150" s="10"/>
      <c r="D150" s="11"/>
      <c r="AG150" s="18"/>
      <c r="AJ150" s="11"/>
    </row>
    <row r="151" spans="2:36" s="9" customFormat="1" x14ac:dyDescent="0.25">
      <c r="B151" s="10"/>
      <c r="D151" s="11"/>
      <c r="AG151" s="18"/>
      <c r="AJ151" s="11"/>
    </row>
    <row r="152" spans="2:36" s="9" customFormat="1" x14ac:dyDescent="0.25">
      <c r="B152" s="10"/>
      <c r="D152" s="11"/>
      <c r="AG152" s="18"/>
      <c r="AJ152" s="11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I2:AJ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BDB5-4637-4FED-92E5-7FFE65945A6B}">
  <sheetPr>
    <tabColor theme="5"/>
  </sheetPr>
  <dimension ref="A1:BI152"/>
  <sheetViews>
    <sheetView zoomScale="115" zoomScaleNormal="115" workbookViewId="0">
      <selection activeCell="AJ22" sqref="AJ22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6.5703125" style="9" customWidth="1"/>
    <col min="15" max="15" width="21.85546875" style="9" customWidth="1"/>
    <col min="16" max="16" width="7.42578125" style="9" customWidth="1"/>
    <col min="17" max="18" width="11.42578125" style="9" customWidth="1"/>
    <col min="19" max="19" width="4" style="9" customWidth="1"/>
    <col min="20" max="20" width="0" style="9" hidden="1" customWidth="1"/>
    <col min="21" max="21" width="21.85546875" style="9" hidden="1" customWidth="1"/>
    <col min="22" max="22" width="7.42578125" style="9" hidden="1" customWidth="1"/>
    <col min="23" max="24" width="11.42578125" style="9" hidden="1" customWidth="1"/>
    <col min="25" max="25" width="4.5703125" style="9" hidden="1" customWidth="1"/>
    <col min="26" max="26" width="11.42578125" style="9" hidden="1" customWidth="1"/>
    <col min="27" max="27" width="21.85546875" style="9" hidden="1" customWidth="1"/>
    <col min="28" max="30" width="11.42578125" style="9" hidden="1" customWidth="1"/>
    <col min="31" max="31" width="4.5703125" style="9" customWidth="1"/>
    <col min="32" max="32" width="3.42578125" style="9" customWidth="1"/>
    <col min="33" max="33" width="0.85546875" style="18" customWidth="1"/>
    <col min="34" max="34" width="6.42578125" style="9" customWidth="1"/>
    <col min="35" max="35" width="24" style="9" customWidth="1"/>
    <col min="36" max="36" width="11.42578125" style="60"/>
    <col min="37" max="61" width="11.42578125" style="9"/>
  </cols>
  <sheetData>
    <row r="1" spans="1:61" s="9" customFormat="1" x14ac:dyDescent="0.25">
      <c r="B1" s="10"/>
      <c r="D1" s="11"/>
      <c r="AG1" s="18"/>
      <c r="AJ1" s="60"/>
    </row>
    <row r="2" spans="1:61" s="9" customFormat="1" ht="28.5" customHeight="1" thickBot="1" x14ac:dyDescent="0.3">
      <c r="B2" s="10"/>
      <c r="D2" s="11"/>
      <c r="AG2" s="18"/>
      <c r="AI2" s="86" t="s">
        <v>53</v>
      </c>
      <c r="AJ2" s="86"/>
      <c r="AK2" s="26"/>
      <c r="AL2" s="26"/>
      <c r="AM2" s="26"/>
    </row>
    <row r="3" spans="1:61" ht="22.5" customHeight="1" thickBot="1" x14ac:dyDescent="0.3">
      <c r="C3" s="87" t="s">
        <v>394</v>
      </c>
      <c r="D3" s="88"/>
      <c r="E3" s="88"/>
      <c r="F3" s="89"/>
      <c r="H3" s="8"/>
      <c r="I3" s="87" t="s">
        <v>395</v>
      </c>
      <c r="J3" s="88"/>
      <c r="K3" s="88"/>
      <c r="L3" s="89"/>
      <c r="N3" s="8"/>
      <c r="O3" s="87" t="s">
        <v>446</v>
      </c>
      <c r="P3" s="88"/>
      <c r="Q3" s="88"/>
      <c r="R3" s="89"/>
      <c r="T3" s="8"/>
      <c r="U3" s="87" t="s">
        <v>48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F3" s="20"/>
      <c r="AI3" s="24"/>
      <c r="AJ3" s="26"/>
      <c r="AK3" s="24"/>
      <c r="AL3" s="24"/>
      <c r="AM3" s="24"/>
    </row>
    <row r="4" spans="1:61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0</v>
      </c>
      <c r="E4" s="154" t="s">
        <v>396</v>
      </c>
      <c r="F4" s="155"/>
      <c r="G4" s="29"/>
      <c r="H4" s="91" t="s">
        <v>9</v>
      </c>
      <c r="I4" s="27" t="s">
        <v>1</v>
      </c>
      <c r="J4" s="12">
        <f>J6+J7+J8+J9+J10+J11</f>
        <v>184</v>
      </c>
      <c r="K4" s="154" t="s">
        <v>396</v>
      </c>
      <c r="L4" s="155"/>
      <c r="M4" s="29"/>
      <c r="N4" s="91" t="s">
        <v>9</v>
      </c>
      <c r="O4" s="27" t="s">
        <v>1</v>
      </c>
      <c r="P4" s="12">
        <f>P6+P7+P8+P9+P10+P11</f>
        <v>417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0"/>
      <c r="AG4" s="31"/>
      <c r="AH4" s="29"/>
      <c r="AI4" s="28" t="s">
        <v>1</v>
      </c>
      <c r="AJ4" s="25">
        <f>J4+P4+V4</f>
        <v>601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5.75" customHeight="1" x14ac:dyDescent="0.25">
      <c r="B5" s="92"/>
      <c r="C5" s="6" t="s">
        <v>0</v>
      </c>
      <c r="D5" s="16">
        <v>0</v>
      </c>
      <c r="E5" s="156"/>
      <c r="F5" s="157"/>
      <c r="H5" s="92"/>
      <c r="I5" s="6" t="s">
        <v>0</v>
      </c>
      <c r="J5" s="16">
        <v>39</v>
      </c>
      <c r="K5" s="156"/>
      <c r="L5" s="157"/>
      <c r="N5" s="92"/>
      <c r="O5" s="6" t="s">
        <v>0</v>
      </c>
      <c r="P5" s="16">
        <v>417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F5" s="17"/>
      <c r="AI5" s="6" t="s">
        <v>0</v>
      </c>
      <c r="AJ5" s="16">
        <f>J5+P5+V5</f>
        <v>456</v>
      </c>
    </row>
    <row r="6" spans="1:61" ht="15.75" customHeight="1" x14ac:dyDescent="0.25">
      <c r="B6" s="92"/>
      <c r="C6" s="2" t="s">
        <v>2</v>
      </c>
      <c r="D6" s="4">
        <v>0</v>
      </c>
      <c r="E6" s="156"/>
      <c r="F6" s="157"/>
      <c r="H6" s="92"/>
      <c r="I6" s="2" t="s">
        <v>2</v>
      </c>
      <c r="J6" s="4">
        <v>26</v>
      </c>
      <c r="K6" s="156"/>
      <c r="L6" s="157"/>
      <c r="N6" s="92"/>
      <c r="O6" s="2" t="s">
        <v>2</v>
      </c>
      <c r="P6" s="4">
        <v>106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F6" s="17"/>
      <c r="AI6" s="2" t="s">
        <v>2</v>
      </c>
      <c r="AJ6" s="4">
        <f t="shared" ref="AJ6:AJ15" si="0">+J6+P6+V6</f>
        <v>132</v>
      </c>
    </row>
    <row r="7" spans="1:61" x14ac:dyDescent="0.25">
      <c r="B7" s="92"/>
      <c r="C7" s="2" t="s">
        <v>3</v>
      </c>
      <c r="D7" s="4">
        <v>0</v>
      </c>
      <c r="E7" s="156"/>
      <c r="F7" s="157"/>
      <c r="H7" s="92"/>
      <c r="I7" s="2" t="s">
        <v>3</v>
      </c>
      <c r="J7" s="4">
        <v>29</v>
      </c>
      <c r="K7" s="156"/>
      <c r="L7" s="157"/>
      <c r="N7" s="92"/>
      <c r="O7" s="2" t="s">
        <v>3</v>
      </c>
      <c r="P7" s="4">
        <v>120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F7" s="17"/>
      <c r="AI7" s="2" t="s">
        <v>3</v>
      </c>
      <c r="AJ7" s="4">
        <f t="shared" si="0"/>
        <v>149</v>
      </c>
    </row>
    <row r="8" spans="1:61" x14ac:dyDescent="0.25">
      <c r="B8" s="92"/>
      <c r="C8" s="2" t="s">
        <v>4</v>
      </c>
      <c r="D8" s="4">
        <v>0</v>
      </c>
      <c r="E8" s="156"/>
      <c r="F8" s="157"/>
      <c r="H8" s="92"/>
      <c r="I8" s="2" t="s">
        <v>4</v>
      </c>
      <c r="J8" s="4">
        <v>33</v>
      </c>
      <c r="K8" s="156"/>
      <c r="L8" s="157"/>
      <c r="N8" s="92"/>
      <c r="O8" s="2" t="s">
        <v>4</v>
      </c>
      <c r="P8" s="4">
        <v>85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F8" s="17"/>
      <c r="AI8" s="2" t="s">
        <v>4</v>
      </c>
      <c r="AJ8" s="4">
        <f t="shared" si="0"/>
        <v>118</v>
      </c>
    </row>
    <row r="9" spans="1:61" x14ac:dyDescent="0.25">
      <c r="B9" s="92"/>
      <c r="C9" s="2" t="s">
        <v>5</v>
      </c>
      <c r="D9" s="4">
        <v>0</v>
      </c>
      <c r="E9" s="156"/>
      <c r="F9" s="157"/>
      <c r="H9" s="92"/>
      <c r="I9" s="2" t="s">
        <v>5</v>
      </c>
      <c r="J9" s="4">
        <v>17</v>
      </c>
      <c r="K9" s="156"/>
      <c r="L9" s="157"/>
      <c r="N9" s="92"/>
      <c r="O9" s="2" t="s">
        <v>5</v>
      </c>
      <c r="P9" s="4">
        <v>84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F9" s="17"/>
      <c r="AI9" s="2" t="s">
        <v>5</v>
      </c>
      <c r="AJ9" s="4">
        <f t="shared" si="0"/>
        <v>101</v>
      </c>
    </row>
    <row r="10" spans="1:61" ht="15.75" thickBot="1" x14ac:dyDescent="0.3">
      <c r="B10" s="92"/>
      <c r="C10" s="7" t="s">
        <v>6</v>
      </c>
      <c r="D10" s="15">
        <v>0</v>
      </c>
      <c r="E10" s="156"/>
      <c r="F10" s="157"/>
      <c r="H10" s="92"/>
      <c r="I10" s="7" t="s">
        <v>6</v>
      </c>
      <c r="J10" s="15">
        <v>74</v>
      </c>
      <c r="K10" s="156"/>
      <c r="L10" s="157"/>
      <c r="N10" s="92"/>
      <c r="O10" s="7" t="s">
        <v>6</v>
      </c>
      <c r="P10" s="15">
        <v>22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F10" s="17"/>
      <c r="AI10" s="7" t="s">
        <v>6</v>
      </c>
      <c r="AJ10" s="15">
        <f t="shared" si="0"/>
        <v>96</v>
      </c>
    </row>
    <row r="11" spans="1:61" ht="15.75" thickBot="1" x14ac:dyDescent="0.3">
      <c r="B11" s="92"/>
      <c r="C11" s="2" t="s">
        <v>7</v>
      </c>
      <c r="D11" s="4">
        <v>0</v>
      </c>
      <c r="E11" s="98" t="s">
        <v>33</v>
      </c>
      <c r="F11" s="99"/>
      <c r="H11" s="92"/>
      <c r="I11" s="2" t="s">
        <v>7</v>
      </c>
      <c r="J11" s="4">
        <v>5</v>
      </c>
      <c r="K11" s="98" t="s">
        <v>33</v>
      </c>
      <c r="L11" s="99"/>
      <c r="N11" s="92"/>
      <c r="O11" s="2" t="s">
        <v>7</v>
      </c>
      <c r="P11" s="4">
        <v>0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F11" s="19"/>
      <c r="AI11" s="2" t="s">
        <v>7</v>
      </c>
      <c r="AJ11" s="4">
        <f t="shared" si="0"/>
        <v>5</v>
      </c>
    </row>
    <row r="12" spans="1:61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F12" s="17"/>
      <c r="AI12" s="2" t="s">
        <v>49</v>
      </c>
      <c r="AJ12" s="4">
        <f t="shared" si="0"/>
        <v>0</v>
      </c>
    </row>
    <row r="13" spans="1:61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2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F13" s="17"/>
      <c r="AI13" s="2" t="s">
        <v>50</v>
      </c>
      <c r="AJ13" s="4">
        <f t="shared" si="0"/>
        <v>2</v>
      </c>
    </row>
    <row r="14" spans="1:61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F14" s="17"/>
      <c r="AI14" s="2" t="s">
        <v>51</v>
      </c>
      <c r="AJ14" s="4">
        <f t="shared" si="0"/>
        <v>0</v>
      </c>
    </row>
    <row r="15" spans="1:61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F15" s="19"/>
      <c r="AI15" s="3" t="s">
        <v>52</v>
      </c>
      <c r="AJ15" s="5">
        <f t="shared" si="0"/>
        <v>0</v>
      </c>
    </row>
    <row r="16" spans="1:61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G16" s="18"/>
      <c r="AJ16" s="60"/>
    </row>
    <row r="17" spans="2:36" x14ac:dyDescent="0.25">
      <c r="B17" s="104" t="s">
        <v>28</v>
      </c>
      <c r="C17" s="6" t="s">
        <v>10</v>
      </c>
      <c r="D17" s="107" t="s">
        <v>397</v>
      </c>
      <c r="E17" s="108"/>
      <c r="F17" s="9"/>
      <c r="H17" s="104" t="s">
        <v>28</v>
      </c>
      <c r="I17" s="6" t="s">
        <v>10</v>
      </c>
      <c r="J17" s="107" t="s">
        <v>34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34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6" ht="15.75" thickBot="1" x14ac:dyDescent="0.3">
      <c r="B18" s="105"/>
      <c r="C18" s="2" t="s">
        <v>11</v>
      </c>
      <c r="D18" s="100" t="s">
        <v>97</v>
      </c>
      <c r="E18" s="101"/>
      <c r="F18" s="9"/>
      <c r="H18" s="105"/>
      <c r="I18" s="2" t="s">
        <v>11</v>
      </c>
      <c r="J18" s="100" t="s">
        <v>35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35</v>
      </c>
      <c r="W18" s="101"/>
      <c r="Z18" s="105"/>
      <c r="AA18" s="2" t="s">
        <v>11</v>
      </c>
      <c r="AB18" s="100" t="s">
        <v>35</v>
      </c>
      <c r="AC18" s="101"/>
    </row>
    <row r="19" spans="2:36" ht="15.75" thickBot="1" x14ac:dyDescent="0.3">
      <c r="B19" s="105"/>
      <c r="C19" s="2" t="s">
        <v>12</v>
      </c>
      <c r="D19" s="100" t="s">
        <v>97</v>
      </c>
      <c r="E19" s="101"/>
      <c r="F19" s="9"/>
      <c r="H19" s="105"/>
      <c r="I19" s="2" t="s">
        <v>12</v>
      </c>
      <c r="J19" s="100" t="s">
        <v>398</v>
      </c>
      <c r="K19" s="101"/>
      <c r="N19" s="105"/>
      <c r="O19" s="2" t="s">
        <v>12</v>
      </c>
      <c r="P19" s="100" t="s">
        <v>399</v>
      </c>
      <c r="Q19" s="101"/>
      <c r="T19" s="105"/>
      <c r="U19" s="2" t="s">
        <v>12</v>
      </c>
      <c r="V19" s="100" t="s">
        <v>36</v>
      </c>
      <c r="W19" s="101"/>
      <c r="Z19" s="105"/>
      <c r="AA19" s="2" t="s">
        <v>12</v>
      </c>
      <c r="AB19" s="100" t="s">
        <v>36</v>
      </c>
      <c r="AC19" s="101"/>
      <c r="AI19" s="51" t="s">
        <v>54</v>
      </c>
      <c r="AJ19" s="52">
        <f>+AJ20+AJ21</f>
        <v>3</v>
      </c>
    </row>
    <row r="20" spans="2:36" ht="15.75" thickBot="1" x14ac:dyDescent="0.3">
      <c r="B20" s="106"/>
      <c r="C20" s="3" t="s">
        <v>13</v>
      </c>
      <c r="D20" s="102" t="s">
        <v>400</v>
      </c>
      <c r="E20" s="103"/>
      <c r="F20" s="9"/>
      <c r="H20" s="106"/>
      <c r="I20" s="3" t="s">
        <v>13</v>
      </c>
      <c r="J20" s="102" t="s">
        <v>401</v>
      </c>
      <c r="K20" s="103"/>
      <c r="N20" s="106"/>
      <c r="O20" s="3" t="s">
        <v>13</v>
      </c>
      <c r="P20" s="102" t="s">
        <v>206</v>
      </c>
      <c r="Q20" s="103"/>
      <c r="T20" s="106"/>
      <c r="U20" s="3" t="s">
        <v>13</v>
      </c>
      <c r="V20" s="102" t="s">
        <v>36</v>
      </c>
      <c r="W20" s="103"/>
      <c r="Z20" s="106"/>
      <c r="AA20" s="3" t="s">
        <v>13</v>
      </c>
      <c r="AB20" s="102" t="s">
        <v>36</v>
      </c>
      <c r="AC20" s="103"/>
      <c r="AI20" s="49" t="s">
        <v>55</v>
      </c>
      <c r="AJ20" s="61">
        <v>2</v>
      </c>
    </row>
    <row r="21" spans="2:36" ht="15.75" thickBot="1" x14ac:dyDescent="0.3">
      <c r="B21" s="109" t="s">
        <v>29</v>
      </c>
      <c r="C21" s="6" t="s">
        <v>14</v>
      </c>
      <c r="D21" s="107" t="s">
        <v>402</v>
      </c>
      <c r="E21" s="108"/>
      <c r="F21" s="9"/>
      <c r="H21" s="109" t="s">
        <v>29</v>
      </c>
      <c r="I21" s="6" t="s">
        <v>14</v>
      </c>
      <c r="J21" s="107" t="s">
        <v>403</v>
      </c>
      <c r="K21" s="108"/>
      <c r="N21" s="109" t="s">
        <v>29</v>
      </c>
      <c r="O21" s="6" t="s">
        <v>14</v>
      </c>
      <c r="P21" s="107" t="s">
        <v>404</v>
      </c>
      <c r="Q21" s="108"/>
      <c r="T21" s="109" t="s">
        <v>29</v>
      </c>
      <c r="U21" s="6" t="s">
        <v>14</v>
      </c>
      <c r="V21" s="107" t="s">
        <v>37</v>
      </c>
      <c r="W21" s="108"/>
      <c r="Z21" s="109" t="s">
        <v>29</v>
      </c>
      <c r="AA21" s="6" t="s">
        <v>14</v>
      </c>
      <c r="AB21" s="107" t="s">
        <v>37</v>
      </c>
      <c r="AC21" s="108"/>
      <c r="AI21" s="47" t="s">
        <v>56</v>
      </c>
      <c r="AJ21" s="62">
        <v>1</v>
      </c>
    </row>
    <row r="22" spans="2:36" x14ac:dyDescent="0.25">
      <c r="B22" s="110"/>
      <c r="C22" s="2" t="s">
        <v>15</v>
      </c>
      <c r="D22" s="100">
        <v>15856974</v>
      </c>
      <c r="E22" s="101"/>
      <c r="F22" s="9"/>
      <c r="H22" s="110"/>
      <c r="I22" s="2" t="s">
        <v>15</v>
      </c>
      <c r="J22" s="100" t="s">
        <v>405</v>
      </c>
      <c r="K22" s="101"/>
      <c r="N22" s="110"/>
      <c r="O22" s="2" t="s">
        <v>15</v>
      </c>
      <c r="P22" s="100" t="s">
        <v>336</v>
      </c>
      <c r="Q22" s="101"/>
      <c r="T22" s="110"/>
      <c r="U22" s="2" t="s">
        <v>15</v>
      </c>
      <c r="V22" s="100" t="s">
        <v>38</v>
      </c>
      <c r="W22" s="101"/>
      <c r="Z22" s="110"/>
      <c r="AA22" s="2" t="s">
        <v>15</v>
      </c>
      <c r="AB22" s="100" t="s">
        <v>38</v>
      </c>
      <c r="AC22" s="101"/>
    </row>
    <row r="23" spans="2:36" x14ac:dyDescent="0.25">
      <c r="B23" s="110"/>
      <c r="C23" s="2" t="s">
        <v>16</v>
      </c>
      <c r="D23" s="100">
        <v>4120216626</v>
      </c>
      <c r="E23" s="101"/>
      <c r="F23" s="9"/>
      <c r="H23" s="110"/>
      <c r="I23" s="2" t="s">
        <v>16</v>
      </c>
      <c r="J23" s="100">
        <v>4241261096</v>
      </c>
      <c r="K23" s="101"/>
      <c r="N23" s="110"/>
      <c r="O23" s="2" t="s">
        <v>16</v>
      </c>
      <c r="P23" s="137">
        <v>4141243722</v>
      </c>
      <c r="Q23" s="101"/>
      <c r="T23" s="110"/>
      <c r="U23" s="2" t="s">
        <v>16</v>
      </c>
      <c r="V23" s="100" t="s">
        <v>39</v>
      </c>
      <c r="W23" s="101"/>
      <c r="Z23" s="110"/>
      <c r="AA23" s="2" t="s">
        <v>16</v>
      </c>
      <c r="AB23" s="100" t="s">
        <v>39</v>
      </c>
      <c r="AC23" s="101"/>
    </row>
    <row r="24" spans="2:36" ht="15.75" thickBot="1" x14ac:dyDescent="0.3">
      <c r="B24" s="111"/>
      <c r="C24" s="3" t="s">
        <v>17</v>
      </c>
      <c r="D24" s="152" t="s">
        <v>406</v>
      </c>
      <c r="E24" s="153"/>
      <c r="F24" s="9"/>
      <c r="H24" s="111"/>
      <c r="I24" s="3" t="s">
        <v>17</v>
      </c>
      <c r="J24" s="102" t="s">
        <v>407</v>
      </c>
      <c r="K24" s="103"/>
      <c r="N24" s="111"/>
      <c r="O24" s="3" t="s">
        <v>17</v>
      </c>
      <c r="P24" s="102" t="s">
        <v>408</v>
      </c>
      <c r="Q24" s="103"/>
      <c r="T24" s="111"/>
      <c r="U24" s="3" t="s">
        <v>17</v>
      </c>
      <c r="V24" s="102" t="s">
        <v>40</v>
      </c>
      <c r="W24" s="103"/>
      <c r="Z24" s="111"/>
      <c r="AA24" s="3" t="s">
        <v>17</v>
      </c>
      <c r="AB24" s="102" t="s">
        <v>40</v>
      </c>
      <c r="AC24" s="103"/>
    </row>
    <row r="25" spans="2:36" x14ac:dyDescent="0.25">
      <c r="B25" s="109" t="s">
        <v>30</v>
      </c>
      <c r="C25" s="6" t="s">
        <v>18</v>
      </c>
      <c r="D25" s="107" t="s">
        <v>409</v>
      </c>
      <c r="E25" s="108"/>
      <c r="F25" s="9"/>
      <c r="H25" s="109" t="s">
        <v>30</v>
      </c>
      <c r="I25" s="6" t="s">
        <v>18</v>
      </c>
      <c r="J25" s="107" t="s">
        <v>410</v>
      </c>
      <c r="K25" s="108"/>
      <c r="N25" s="109" t="s">
        <v>30</v>
      </c>
      <c r="O25" s="6" t="s">
        <v>18</v>
      </c>
      <c r="P25" s="107" t="s">
        <v>411</v>
      </c>
      <c r="Q25" s="108"/>
      <c r="T25" s="109" t="s">
        <v>30</v>
      </c>
      <c r="U25" s="6" t="s">
        <v>18</v>
      </c>
      <c r="V25" s="107" t="s">
        <v>41</v>
      </c>
      <c r="W25" s="108"/>
      <c r="Z25" s="109" t="s">
        <v>30</v>
      </c>
      <c r="AA25" s="6" t="s">
        <v>18</v>
      </c>
      <c r="AB25" s="107" t="s">
        <v>41</v>
      </c>
      <c r="AC25" s="108"/>
    </row>
    <row r="26" spans="2:36" x14ac:dyDescent="0.25">
      <c r="B26" s="110"/>
      <c r="C26" s="2" t="s">
        <v>15</v>
      </c>
      <c r="D26" s="100">
        <v>19224750</v>
      </c>
      <c r="E26" s="101"/>
      <c r="F26" s="9"/>
      <c r="H26" s="110"/>
      <c r="I26" s="2" t="s">
        <v>15</v>
      </c>
      <c r="J26" s="137">
        <v>10864836</v>
      </c>
      <c r="K26" s="101"/>
      <c r="N26" s="110"/>
      <c r="O26" s="2" t="s">
        <v>15</v>
      </c>
      <c r="P26" s="137">
        <v>14322227</v>
      </c>
      <c r="Q26" s="101"/>
      <c r="T26" s="110"/>
      <c r="U26" s="2" t="s">
        <v>15</v>
      </c>
      <c r="V26" s="100" t="s">
        <v>38</v>
      </c>
      <c r="W26" s="101"/>
      <c r="Z26" s="110"/>
      <c r="AA26" s="2" t="s">
        <v>15</v>
      </c>
      <c r="AB26" s="100" t="s">
        <v>38</v>
      </c>
      <c r="AC26" s="101"/>
    </row>
    <row r="27" spans="2:36" x14ac:dyDescent="0.25">
      <c r="B27" s="110"/>
      <c r="C27" s="2" t="s">
        <v>16</v>
      </c>
      <c r="D27" s="100">
        <v>4123082834</v>
      </c>
      <c r="E27" s="101"/>
      <c r="F27" s="9"/>
      <c r="H27" s="110"/>
      <c r="I27" s="2" t="s">
        <v>16</v>
      </c>
      <c r="J27" s="100">
        <v>4169181873</v>
      </c>
      <c r="K27" s="101"/>
      <c r="N27" s="110"/>
      <c r="O27" s="2" t="s">
        <v>16</v>
      </c>
      <c r="P27" s="137">
        <v>4124093315</v>
      </c>
      <c r="Q27" s="101"/>
      <c r="T27" s="110"/>
      <c r="U27" s="2" t="s">
        <v>16</v>
      </c>
      <c r="V27" s="100" t="s">
        <v>39</v>
      </c>
      <c r="W27" s="101"/>
      <c r="Z27" s="110"/>
      <c r="AA27" s="2" t="s">
        <v>16</v>
      </c>
      <c r="AB27" s="100" t="s">
        <v>39</v>
      </c>
      <c r="AC27" s="101"/>
    </row>
    <row r="28" spans="2:36" x14ac:dyDescent="0.25">
      <c r="B28" s="110"/>
      <c r="C28" s="2" t="s">
        <v>19</v>
      </c>
      <c r="D28" s="100" t="s">
        <v>412</v>
      </c>
      <c r="E28" s="101"/>
      <c r="F28" s="9"/>
      <c r="H28" s="110"/>
      <c r="I28" s="2" t="s">
        <v>19</v>
      </c>
      <c r="J28" s="100" t="s">
        <v>413</v>
      </c>
      <c r="K28" s="101"/>
      <c r="N28" s="110"/>
      <c r="O28" s="2" t="s">
        <v>19</v>
      </c>
      <c r="P28" s="100" t="s">
        <v>414</v>
      </c>
      <c r="Q28" s="101"/>
      <c r="T28" s="110"/>
      <c r="U28" s="2" t="s">
        <v>19</v>
      </c>
      <c r="V28" s="100" t="s">
        <v>42</v>
      </c>
      <c r="W28" s="101"/>
      <c r="Z28" s="110"/>
      <c r="AA28" s="2" t="s">
        <v>19</v>
      </c>
      <c r="AB28" s="100" t="s">
        <v>42</v>
      </c>
      <c r="AC28" s="101"/>
    </row>
    <row r="29" spans="2:36" x14ac:dyDescent="0.25">
      <c r="B29" s="110"/>
      <c r="C29" s="2" t="s">
        <v>20</v>
      </c>
      <c r="D29" s="100">
        <v>50</v>
      </c>
      <c r="E29" s="101"/>
      <c r="F29" s="9"/>
      <c r="H29" s="110"/>
      <c r="I29" s="2" t="s">
        <v>20</v>
      </c>
      <c r="J29" s="100">
        <v>15</v>
      </c>
      <c r="K29" s="101"/>
      <c r="N29" s="110"/>
      <c r="O29" s="2" t="s">
        <v>20</v>
      </c>
      <c r="P29" s="100">
        <v>6</v>
      </c>
      <c r="Q29" s="101"/>
      <c r="T29" s="110"/>
      <c r="U29" s="2" t="s">
        <v>20</v>
      </c>
      <c r="V29" s="100" t="s">
        <v>8</v>
      </c>
      <c r="W29" s="101"/>
      <c r="Z29" s="110"/>
      <c r="AA29" s="2" t="s">
        <v>20</v>
      </c>
      <c r="AB29" s="100" t="s">
        <v>8</v>
      </c>
      <c r="AC29" s="101"/>
    </row>
    <row r="30" spans="2:36" ht="15.75" thickBot="1" x14ac:dyDescent="0.3">
      <c r="B30" s="111"/>
      <c r="C30" s="3" t="s">
        <v>21</v>
      </c>
      <c r="D30" s="102">
        <v>1</v>
      </c>
      <c r="E30" s="103"/>
      <c r="F30" s="9"/>
      <c r="H30" s="111"/>
      <c r="I30" s="3" t="s">
        <v>21</v>
      </c>
      <c r="J30" s="102">
        <v>0</v>
      </c>
      <c r="K30" s="103"/>
      <c r="N30" s="111"/>
      <c r="O30" s="3" t="s">
        <v>21</v>
      </c>
      <c r="P30" s="102">
        <v>1</v>
      </c>
      <c r="Q30" s="103"/>
      <c r="T30" s="111"/>
      <c r="U30" s="3" t="s">
        <v>21</v>
      </c>
      <c r="V30" s="102" t="s">
        <v>8</v>
      </c>
      <c r="W30" s="103"/>
      <c r="Z30" s="111"/>
      <c r="AA30" s="3" t="s">
        <v>21</v>
      </c>
      <c r="AB30" s="102" t="s">
        <v>8</v>
      </c>
      <c r="AC30" s="103"/>
    </row>
    <row r="31" spans="2:36" x14ac:dyDescent="0.25">
      <c r="B31" s="104" t="s">
        <v>32</v>
      </c>
      <c r="C31" s="6" t="s">
        <v>23</v>
      </c>
      <c r="D31" s="107" t="s">
        <v>87</v>
      </c>
      <c r="E31" s="108"/>
      <c r="F31" s="9"/>
      <c r="H31" s="104" t="s">
        <v>32</v>
      </c>
      <c r="I31" s="6" t="s">
        <v>23</v>
      </c>
      <c r="J31" s="107" t="s">
        <v>87</v>
      </c>
      <c r="K31" s="108"/>
      <c r="N31" s="104" t="s">
        <v>32</v>
      </c>
      <c r="O31" s="6" t="s">
        <v>23</v>
      </c>
      <c r="P31" s="107" t="s">
        <v>87</v>
      </c>
      <c r="Q31" s="108"/>
      <c r="T31" s="104" t="s">
        <v>32</v>
      </c>
      <c r="U31" s="6" t="s">
        <v>23</v>
      </c>
      <c r="V31" s="107" t="s">
        <v>22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6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88</v>
      </c>
      <c r="K32" s="113"/>
      <c r="N32" s="105"/>
      <c r="O32" s="2" t="s">
        <v>24</v>
      </c>
      <c r="P32" s="112" t="s">
        <v>87</v>
      </c>
      <c r="Q32" s="113"/>
      <c r="T32" s="105"/>
      <c r="U32" s="2" t="s">
        <v>24</v>
      </c>
      <c r="V32" s="112" t="s">
        <v>22</v>
      </c>
      <c r="W32" s="113"/>
      <c r="Z32" s="105"/>
      <c r="AA32" s="2" t="s">
        <v>24</v>
      </c>
      <c r="AB32" s="112" t="s">
        <v>22</v>
      </c>
      <c r="AC32" s="113"/>
    </row>
    <row r="33" spans="2:36" x14ac:dyDescent="0.25">
      <c r="B33" s="105"/>
      <c r="C33" s="2" t="s">
        <v>25</v>
      </c>
      <c r="D33" s="112" t="s">
        <v>87</v>
      </c>
      <c r="E33" s="113"/>
      <c r="F33" s="9"/>
      <c r="H33" s="105"/>
      <c r="I33" s="2" t="s">
        <v>25</v>
      </c>
      <c r="J33" s="112" t="s">
        <v>87</v>
      </c>
      <c r="K33" s="113"/>
      <c r="N33" s="105"/>
      <c r="O33" s="2" t="s">
        <v>25</v>
      </c>
      <c r="P33" s="112" t="s">
        <v>87</v>
      </c>
      <c r="Q33" s="113"/>
      <c r="T33" s="105"/>
      <c r="U33" s="2" t="s">
        <v>25</v>
      </c>
      <c r="V33" s="112" t="s">
        <v>22</v>
      </c>
      <c r="W33" s="113"/>
      <c r="Z33" s="105"/>
      <c r="AA33" s="2" t="s">
        <v>25</v>
      </c>
      <c r="AB33" s="112" t="s">
        <v>22</v>
      </c>
      <c r="AC33" s="113"/>
    </row>
    <row r="34" spans="2:36" ht="15.75" thickBot="1" x14ac:dyDescent="0.3">
      <c r="B34" s="105"/>
      <c r="C34" s="7" t="s">
        <v>26</v>
      </c>
      <c r="D34" s="114" t="s">
        <v>88</v>
      </c>
      <c r="E34" s="115"/>
      <c r="F34" s="9"/>
      <c r="H34" s="105"/>
      <c r="I34" s="7" t="s">
        <v>26</v>
      </c>
      <c r="J34" s="114" t="s">
        <v>88</v>
      </c>
      <c r="K34" s="115"/>
      <c r="N34" s="105"/>
      <c r="O34" s="7" t="s">
        <v>26</v>
      </c>
      <c r="P34" s="114" t="s">
        <v>87</v>
      </c>
      <c r="Q34" s="115"/>
      <c r="T34" s="105"/>
      <c r="U34" s="7" t="s">
        <v>26</v>
      </c>
      <c r="V34" s="114" t="s">
        <v>22</v>
      </c>
      <c r="W34" s="115"/>
      <c r="Z34" s="105"/>
      <c r="AA34" s="7" t="s">
        <v>26</v>
      </c>
      <c r="AB34" s="114" t="s">
        <v>22</v>
      </c>
      <c r="AC34" s="115"/>
    </row>
    <row r="35" spans="2:36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  <c r="AF35" s="21"/>
    </row>
    <row r="36" spans="2:36" x14ac:dyDescent="0.25">
      <c r="B36" s="110"/>
      <c r="C36" s="119" t="s">
        <v>415</v>
      </c>
      <c r="D36" s="120"/>
      <c r="E36" s="120"/>
      <c r="F36" s="121"/>
      <c r="H36" s="110"/>
      <c r="I36" s="119" t="s">
        <v>416</v>
      </c>
      <c r="J36" s="120"/>
      <c r="K36" s="120"/>
      <c r="L36" s="121"/>
      <c r="N36" s="110"/>
      <c r="O36" s="119" t="s">
        <v>417</v>
      </c>
      <c r="P36" s="120"/>
      <c r="Q36" s="120"/>
      <c r="R36" s="121"/>
      <c r="T36" s="110"/>
      <c r="U36" s="119" t="s">
        <v>43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  <c r="AF36" s="22"/>
    </row>
    <row r="37" spans="2:36" x14ac:dyDescent="0.25">
      <c r="B37" s="110"/>
      <c r="C37" s="122" t="s">
        <v>43</v>
      </c>
      <c r="D37" s="123"/>
      <c r="E37" s="123"/>
      <c r="F37" s="124"/>
      <c r="H37" s="110"/>
      <c r="I37" s="122" t="s">
        <v>43</v>
      </c>
      <c r="J37" s="123"/>
      <c r="K37" s="123"/>
      <c r="L37" s="124"/>
      <c r="N37" s="110"/>
      <c r="O37" s="122" t="s">
        <v>43</v>
      </c>
      <c r="P37" s="123"/>
      <c r="Q37" s="123"/>
      <c r="R37" s="124"/>
      <c r="T37" s="110"/>
      <c r="U37" s="122" t="s">
        <v>43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  <c r="AF37" s="22"/>
    </row>
    <row r="38" spans="2:36" x14ac:dyDescent="0.25">
      <c r="B38" s="110"/>
      <c r="C38" s="122" t="s">
        <v>43</v>
      </c>
      <c r="D38" s="123"/>
      <c r="E38" s="123"/>
      <c r="F38" s="124"/>
      <c r="H38" s="110"/>
      <c r="I38" s="122" t="s">
        <v>43</v>
      </c>
      <c r="J38" s="123"/>
      <c r="K38" s="123"/>
      <c r="L38" s="124"/>
      <c r="N38" s="110"/>
      <c r="O38" s="122" t="s">
        <v>43</v>
      </c>
      <c r="P38" s="123"/>
      <c r="Q38" s="123"/>
      <c r="R38" s="124"/>
      <c r="T38" s="110"/>
      <c r="U38" s="122" t="s">
        <v>43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  <c r="AF38" s="22"/>
    </row>
    <row r="39" spans="2:36" ht="15.75" thickBot="1" x14ac:dyDescent="0.3">
      <c r="B39" s="111"/>
      <c r="C39" s="125" t="s">
        <v>43</v>
      </c>
      <c r="D39" s="126"/>
      <c r="E39" s="126"/>
      <c r="F39" s="127"/>
      <c r="H39" s="111"/>
      <c r="I39" s="125" t="s">
        <v>43</v>
      </c>
      <c r="J39" s="126"/>
      <c r="K39" s="126"/>
      <c r="L39" s="127"/>
      <c r="N39" s="111"/>
      <c r="O39" s="125" t="s">
        <v>43</v>
      </c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  <c r="AF39" s="22"/>
    </row>
    <row r="40" spans="2:36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G40" s="18"/>
      <c r="AJ40" s="60"/>
    </row>
    <row r="41" spans="2:36" s="9" customFormat="1" x14ac:dyDescent="0.25">
      <c r="B41" s="10"/>
      <c r="C41" s="13" t="s">
        <v>44</v>
      </c>
      <c r="D41" s="130" t="s">
        <v>418</v>
      </c>
      <c r="E41" s="131"/>
      <c r="F41" s="132"/>
      <c r="H41" s="10"/>
      <c r="I41" s="13" t="s">
        <v>44</v>
      </c>
      <c r="J41" s="130" t="s">
        <v>418</v>
      </c>
      <c r="K41" s="131"/>
      <c r="L41" s="132"/>
      <c r="N41" s="10"/>
      <c r="O41" s="13" t="s">
        <v>44</v>
      </c>
      <c r="P41" s="130" t="s">
        <v>418</v>
      </c>
      <c r="Q41" s="131"/>
      <c r="R41" s="132"/>
      <c r="T41" s="10"/>
      <c r="U41" s="13" t="s">
        <v>44</v>
      </c>
      <c r="V41" s="130" t="s">
        <v>47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23"/>
      <c r="AG41" s="18"/>
      <c r="AJ41" s="60"/>
    </row>
    <row r="42" spans="2:36" s="9" customFormat="1" ht="15.75" thickBot="1" x14ac:dyDescent="0.3">
      <c r="B42" s="10"/>
      <c r="C42" s="14" t="s">
        <v>45</v>
      </c>
      <c r="D42" s="128" t="s">
        <v>419</v>
      </c>
      <c r="E42" s="128"/>
      <c r="F42" s="129"/>
      <c r="H42" s="10"/>
      <c r="I42" s="14" t="s">
        <v>45</v>
      </c>
      <c r="J42" s="128" t="s">
        <v>419</v>
      </c>
      <c r="K42" s="128"/>
      <c r="L42" s="129"/>
      <c r="N42" s="10"/>
      <c r="O42" s="14" t="s">
        <v>45</v>
      </c>
      <c r="P42" s="128" t="s">
        <v>419</v>
      </c>
      <c r="Q42" s="128"/>
      <c r="R42" s="129"/>
      <c r="T42" s="10"/>
      <c r="U42" s="14" t="s">
        <v>45</v>
      </c>
      <c r="V42" s="128" t="s">
        <v>46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23"/>
      <c r="AG42" s="18"/>
      <c r="AJ42" s="60"/>
    </row>
    <row r="43" spans="2:36" s="9" customFormat="1" x14ac:dyDescent="0.25">
      <c r="B43" s="10"/>
      <c r="D43" s="11"/>
      <c r="AG43" s="18"/>
      <c r="AJ43" s="60"/>
    </row>
    <row r="44" spans="2:36" s="9" customFormat="1" x14ac:dyDescent="0.25">
      <c r="B44" s="10"/>
      <c r="D44" s="11"/>
      <c r="AG44" s="18"/>
      <c r="AJ44" s="60"/>
    </row>
    <row r="45" spans="2:36" s="9" customFormat="1" x14ac:dyDescent="0.25">
      <c r="B45" s="10"/>
      <c r="D45" s="11"/>
      <c r="AG45" s="18"/>
      <c r="AJ45" s="60"/>
    </row>
    <row r="46" spans="2:36" s="9" customFormat="1" x14ac:dyDescent="0.25">
      <c r="B46" s="10"/>
      <c r="D46" s="11"/>
      <c r="AG46" s="18"/>
      <c r="AJ46" s="60"/>
    </row>
    <row r="47" spans="2:36" s="9" customFormat="1" x14ac:dyDescent="0.25">
      <c r="B47" s="10"/>
      <c r="D47" s="11"/>
      <c r="AG47" s="18"/>
      <c r="AJ47" s="60"/>
    </row>
    <row r="48" spans="2:36" s="9" customFormat="1" x14ac:dyDescent="0.25">
      <c r="B48" s="10"/>
      <c r="D48" s="11"/>
      <c r="AG48" s="18"/>
      <c r="AJ48" s="60"/>
    </row>
    <row r="49" spans="2:36" s="9" customFormat="1" x14ac:dyDescent="0.25">
      <c r="B49" s="10"/>
      <c r="D49" s="11"/>
      <c r="AG49" s="18"/>
      <c r="AJ49" s="60"/>
    </row>
    <row r="50" spans="2:36" s="9" customFormat="1" x14ac:dyDescent="0.25">
      <c r="B50" s="10"/>
      <c r="D50" s="11"/>
      <c r="AG50" s="18"/>
      <c r="AJ50" s="60"/>
    </row>
    <row r="51" spans="2:36" s="9" customFormat="1" x14ac:dyDescent="0.25">
      <c r="B51" s="10"/>
      <c r="D51" s="11"/>
      <c r="AG51" s="18"/>
      <c r="AJ51" s="60"/>
    </row>
    <row r="52" spans="2:36" s="9" customFormat="1" x14ac:dyDescent="0.25">
      <c r="B52" s="10"/>
      <c r="D52" s="11"/>
      <c r="AG52" s="18"/>
      <c r="AJ52" s="60"/>
    </row>
    <row r="53" spans="2:36" s="9" customFormat="1" x14ac:dyDescent="0.25">
      <c r="B53" s="10"/>
      <c r="D53" s="11"/>
      <c r="AG53" s="18"/>
      <c r="AJ53" s="60"/>
    </row>
    <row r="54" spans="2:36" s="9" customFormat="1" x14ac:dyDescent="0.25">
      <c r="B54" s="10"/>
      <c r="D54" s="11"/>
      <c r="AG54" s="18"/>
      <c r="AJ54" s="60"/>
    </row>
    <row r="55" spans="2:36" s="9" customFormat="1" x14ac:dyDescent="0.25">
      <c r="B55" s="10"/>
      <c r="D55" s="11"/>
      <c r="AG55" s="18"/>
      <c r="AJ55" s="60"/>
    </row>
    <row r="56" spans="2:36" s="9" customFormat="1" x14ac:dyDescent="0.25">
      <c r="B56" s="10"/>
      <c r="D56" s="11"/>
      <c r="AG56" s="18"/>
      <c r="AJ56" s="60"/>
    </row>
    <row r="57" spans="2:36" s="9" customFormat="1" x14ac:dyDescent="0.25">
      <c r="B57" s="10"/>
      <c r="D57" s="11"/>
      <c r="AG57" s="18"/>
      <c r="AJ57" s="60"/>
    </row>
    <row r="58" spans="2:36" s="9" customFormat="1" x14ac:dyDescent="0.25">
      <c r="B58" s="10"/>
      <c r="D58" s="11"/>
      <c r="AG58" s="18"/>
      <c r="AJ58" s="60"/>
    </row>
    <row r="59" spans="2:36" s="9" customFormat="1" x14ac:dyDescent="0.25">
      <c r="B59" s="10"/>
      <c r="D59" s="11"/>
      <c r="AG59" s="18"/>
      <c r="AJ59" s="60"/>
    </row>
    <row r="60" spans="2:36" s="9" customFormat="1" x14ac:dyDescent="0.25">
      <c r="B60" s="10"/>
      <c r="D60" s="11"/>
      <c r="AG60" s="18"/>
      <c r="AJ60" s="60"/>
    </row>
    <row r="61" spans="2:36" s="9" customFormat="1" x14ac:dyDescent="0.25">
      <c r="B61" s="10"/>
      <c r="D61" s="11"/>
      <c r="AG61" s="18"/>
      <c r="AJ61" s="60"/>
    </row>
    <row r="62" spans="2:36" s="9" customFormat="1" x14ac:dyDescent="0.25">
      <c r="B62" s="10"/>
      <c r="D62" s="11"/>
      <c r="AG62" s="18"/>
      <c r="AJ62" s="60"/>
    </row>
    <row r="63" spans="2:36" s="9" customFormat="1" x14ac:dyDescent="0.25">
      <c r="B63" s="10"/>
      <c r="D63" s="11"/>
      <c r="AG63" s="18"/>
      <c r="AJ63" s="60"/>
    </row>
    <row r="64" spans="2:36" s="9" customFormat="1" x14ac:dyDescent="0.25">
      <c r="B64" s="10"/>
      <c r="D64" s="11"/>
      <c r="AG64" s="18"/>
      <c r="AJ64" s="60"/>
    </row>
    <row r="65" spans="2:36" s="9" customFormat="1" x14ac:dyDescent="0.25">
      <c r="B65" s="10"/>
      <c r="D65" s="11"/>
      <c r="AG65" s="18"/>
      <c r="AJ65" s="60"/>
    </row>
    <row r="66" spans="2:36" s="9" customFormat="1" x14ac:dyDescent="0.25">
      <c r="B66" s="10"/>
      <c r="D66" s="11"/>
      <c r="AG66" s="18"/>
      <c r="AJ66" s="60"/>
    </row>
    <row r="67" spans="2:36" s="9" customFormat="1" x14ac:dyDescent="0.25">
      <c r="B67" s="10"/>
      <c r="D67" s="11"/>
      <c r="AG67" s="18"/>
      <c r="AJ67" s="60"/>
    </row>
    <row r="68" spans="2:36" s="9" customFormat="1" x14ac:dyDescent="0.25">
      <c r="B68" s="10"/>
      <c r="D68" s="11"/>
      <c r="AG68" s="18"/>
      <c r="AJ68" s="60"/>
    </row>
    <row r="69" spans="2:36" s="9" customFormat="1" x14ac:dyDescent="0.25">
      <c r="B69" s="10"/>
      <c r="D69" s="11"/>
      <c r="AG69" s="18"/>
      <c r="AJ69" s="60"/>
    </row>
    <row r="70" spans="2:36" s="9" customFormat="1" x14ac:dyDescent="0.25">
      <c r="B70" s="10"/>
      <c r="D70" s="11"/>
      <c r="AG70" s="18"/>
      <c r="AJ70" s="60"/>
    </row>
    <row r="71" spans="2:36" s="9" customFormat="1" x14ac:dyDescent="0.25">
      <c r="B71" s="10"/>
      <c r="D71" s="11"/>
      <c r="AG71" s="18"/>
      <c r="AJ71" s="60"/>
    </row>
    <row r="72" spans="2:36" s="9" customFormat="1" x14ac:dyDescent="0.25">
      <c r="B72" s="10"/>
      <c r="D72" s="11"/>
      <c r="AG72" s="18"/>
      <c r="AJ72" s="60"/>
    </row>
    <row r="73" spans="2:36" s="9" customFormat="1" x14ac:dyDescent="0.25">
      <c r="B73" s="10"/>
      <c r="D73" s="11"/>
      <c r="AG73" s="18"/>
      <c r="AJ73" s="60"/>
    </row>
    <row r="74" spans="2:36" s="9" customFormat="1" x14ac:dyDescent="0.25">
      <c r="B74" s="10"/>
      <c r="D74" s="11"/>
      <c r="AG74" s="18"/>
      <c r="AJ74" s="60"/>
    </row>
    <row r="75" spans="2:36" s="9" customFormat="1" x14ac:dyDescent="0.25">
      <c r="B75" s="10"/>
      <c r="D75" s="11"/>
      <c r="AG75" s="18"/>
      <c r="AJ75" s="60"/>
    </row>
    <row r="76" spans="2:36" s="9" customFormat="1" x14ac:dyDescent="0.25">
      <c r="B76" s="10"/>
      <c r="D76" s="11"/>
      <c r="AG76" s="18"/>
      <c r="AJ76" s="60"/>
    </row>
    <row r="77" spans="2:36" s="9" customFormat="1" x14ac:dyDescent="0.25">
      <c r="B77" s="10"/>
      <c r="D77" s="11"/>
      <c r="AG77" s="18"/>
      <c r="AJ77" s="60"/>
    </row>
    <row r="78" spans="2:36" s="9" customFormat="1" x14ac:dyDescent="0.25">
      <c r="B78" s="10"/>
      <c r="D78" s="11"/>
      <c r="AG78" s="18"/>
      <c r="AJ78" s="60"/>
    </row>
    <row r="79" spans="2:36" s="9" customFormat="1" x14ac:dyDescent="0.25">
      <c r="B79" s="10"/>
      <c r="D79" s="11"/>
      <c r="AG79" s="18"/>
      <c r="AJ79" s="60"/>
    </row>
    <row r="80" spans="2:36" s="9" customFormat="1" x14ac:dyDescent="0.25">
      <c r="B80" s="10"/>
      <c r="D80" s="11"/>
      <c r="AG80" s="18"/>
      <c r="AJ80" s="60"/>
    </row>
    <row r="81" spans="2:36" s="9" customFormat="1" x14ac:dyDescent="0.25">
      <c r="B81" s="10"/>
      <c r="D81" s="11"/>
      <c r="AG81" s="18"/>
      <c r="AJ81" s="60"/>
    </row>
    <row r="82" spans="2:36" s="9" customFormat="1" x14ac:dyDescent="0.25">
      <c r="B82" s="10"/>
      <c r="D82" s="11"/>
      <c r="AG82" s="18"/>
      <c r="AJ82" s="60"/>
    </row>
    <row r="83" spans="2:36" s="9" customFormat="1" x14ac:dyDescent="0.25">
      <c r="B83" s="10"/>
      <c r="D83" s="11"/>
      <c r="AG83" s="18"/>
      <c r="AJ83" s="60"/>
    </row>
    <row r="84" spans="2:36" s="9" customFormat="1" x14ac:dyDescent="0.25">
      <c r="B84" s="10"/>
      <c r="D84" s="11"/>
      <c r="AG84" s="18"/>
      <c r="AJ84" s="60"/>
    </row>
    <row r="85" spans="2:36" s="9" customFormat="1" x14ac:dyDescent="0.25">
      <c r="B85" s="10"/>
      <c r="D85" s="11"/>
      <c r="AG85" s="18"/>
      <c r="AJ85" s="60"/>
    </row>
    <row r="86" spans="2:36" s="9" customFormat="1" x14ac:dyDescent="0.25">
      <c r="B86" s="10"/>
      <c r="D86" s="11"/>
      <c r="AG86" s="18"/>
      <c r="AJ86" s="60"/>
    </row>
    <row r="87" spans="2:36" s="9" customFormat="1" x14ac:dyDescent="0.25">
      <c r="B87" s="10"/>
      <c r="D87" s="11"/>
      <c r="AG87" s="18"/>
      <c r="AJ87" s="60"/>
    </row>
    <row r="88" spans="2:36" s="9" customFormat="1" x14ac:dyDescent="0.25">
      <c r="B88" s="10"/>
      <c r="D88" s="11"/>
      <c r="AG88" s="18"/>
      <c r="AJ88" s="60"/>
    </row>
    <row r="89" spans="2:36" s="9" customFormat="1" x14ac:dyDescent="0.25">
      <c r="B89" s="10"/>
      <c r="D89" s="11"/>
      <c r="AG89" s="18"/>
      <c r="AJ89" s="60"/>
    </row>
    <row r="90" spans="2:36" s="9" customFormat="1" x14ac:dyDescent="0.25">
      <c r="B90" s="10"/>
      <c r="D90" s="11"/>
      <c r="AG90" s="18"/>
      <c r="AJ90" s="60"/>
    </row>
    <row r="91" spans="2:36" s="9" customFormat="1" x14ac:dyDescent="0.25">
      <c r="B91" s="10"/>
      <c r="D91" s="11"/>
      <c r="AG91" s="18"/>
      <c r="AJ91" s="60"/>
    </row>
    <row r="92" spans="2:36" s="9" customFormat="1" x14ac:dyDescent="0.25">
      <c r="B92" s="10"/>
      <c r="D92" s="11"/>
      <c r="AG92" s="18"/>
      <c r="AJ92" s="60"/>
    </row>
    <row r="93" spans="2:36" s="9" customFormat="1" x14ac:dyDescent="0.25">
      <c r="B93" s="10"/>
      <c r="D93" s="11"/>
      <c r="AG93" s="18"/>
      <c r="AJ93" s="60"/>
    </row>
    <row r="94" spans="2:36" s="9" customFormat="1" x14ac:dyDescent="0.25">
      <c r="B94" s="10"/>
      <c r="D94" s="11"/>
      <c r="AG94" s="18"/>
      <c r="AJ94" s="60"/>
    </row>
    <row r="95" spans="2:36" s="9" customFormat="1" x14ac:dyDescent="0.25">
      <c r="B95" s="10"/>
      <c r="D95" s="11"/>
      <c r="AG95" s="18"/>
      <c r="AJ95" s="60"/>
    </row>
    <row r="96" spans="2:36" s="9" customFormat="1" x14ac:dyDescent="0.25">
      <c r="B96" s="10"/>
      <c r="D96" s="11"/>
      <c r="AG96" s="18"/>
      <c r="AJ96" s="60"/>
    </row>
    <row r="97" spans="2:36" s="9" customFormat="1" x14ac:dyDescent="0.25">
      <c r="B97" s="10"/>
      <c r="D97" s="11"/>
      <c r="AG97" s="18"/>
      <c r="AJ97" s="60"/>
    </row>
    <row r="98" spans="2:36" s="9" customFormat="1" x14ac:dyDescent="0.25">
      <c r="B98" s="10"/>
      <c r="D98" s="11"/>
      <c r="AG98" s="18"/>
      <c r="AJ98" s="60"/>
    </row>
    <row r="99" spans="2:36" s="9" customFormat="1" x14ac:dyDescent="0.25">
      <c r="B99" s="10"/>
      <c r="D99" s="11"/>
      <c r="AG99" s="18"/>
      <c r="AJ99" s="60"/>
    </row>
    <row r="100" spans="2:36" s="9" customFormat="1" x14ac:dyDescent="0.25">
      <c r="B100" s="10"/>
      <c r="D100" s="11"/>
      <c r="AG100" s="18"/>
      <c r="AJ100" s="60"/>
    </row>
    <row r="101" spans="2:36" s="9" customFormat="1" x14ac:dyDescent="0.25">
      <c r="B101" s="10"/>
      <c r="D101" s="11"/>
      <c r="AG101" s="18"/>
      <c r="AJ101" s="60"/>
    </row>
    <row r="102" spans="2:36" s="9" customFormat="1" x14ac:dyDescent="0.25">
      <c r="B102" s="10"/>
      <c r="D102" s="11"/>
      <c r="AG102" s="18"/>
      <c r="AJ102" s="60"/>
    </row>
    <row r="103" spans="2:36" s="9" customFormat="1" x14ac:dyDescent="0.25">
      <c r="B103" s="10"/>
      <c r="D103" s="11"/>
      <c r="AG103" s="18"/>
      <c r="AJ103" s="60"/>
    </row>
    <row r="104" spans="2:36" s="9" customFormat="1" x14ac:dyDescent="0.25">
      <c r="B104" s="10"/>
      <c r="D104" s="11"/>
      <c r="AG104" s="18"/>
      <c r="AJ104" s="60"/>
    </row>
    <row r="105" spans="2:36" s="9" customFormat="1" x14ac:dyDescent="0.25">
      <c r="B105" s="10"/>
      <c r="D105" s="11"/>
      <c r="AG105" s="18"/>
      <c r="AJ105" s="60"/>
    </row>
    <row r="106" spans="2:36" s="9" customFormat="1" x14ac:dyDescent="0.25">
      <c r="B106" s="10"/>
      <c r="D106" s="11"/>
      <c r="AG106" s="18"/>
      <c r="AJ106" s="60"/>
    </row>
    <row r="107" spans="2:36" s="9" customFormat="1" x14ac:dyDescent="0.25">
      <c r="B107" s="10"/>
      <c r="D107" s="11"/>
      <c r="AG107" s="18"/>
      <c r="AJ107" s="60"/>
    </row>
    <row r="108" spans="2:36" s="9" customFormat="1" x14ac:dyDescent="0.25">
      <c r="B108" s="10"/>
      <c r="D108" s="11"/>
      <c r="AG108" s="18"/>
      <c r="AJ108" s="60"/>
    </row>
    <row r="109" spans="2:36" s="9" customFormat="1" x14ac:dyDescent="0.25">
      <c r="B109" s="10"/>
      <c r="D109" s="11"/>
      <c r="AG109" s="18"/>
      <c r="AJ109" s="60"/>
    </row>
    <row r="110" spans="2:36" s="9" customFormat="1" x14ac:dyDescent="0.25">
      <c r="B110" s="10"/>
      <c r="D110" s="11"/>
      <c r="AG110" s="18"/>
      <c r="AJ110" s="60"/>
    </row>
    <row r="111" spans="2:36" s="9" customFormat="1" x14ac:dyDescent="0.25">
      <c r="B111" s="10"/>
      <c r="D111" s="11"/>
      <c r="AG111" s="18"/>
      <c r="AJ111" s="60"/>
    </row>
    <row r="112" spans="2:36" s="9" customFormat="1" x14ac:dyDescent="0.25">
      <c r="B112" s="10"/>
      <c r="D112" s="11"/>
      <c r="AG112" s="18"/>
      <c r="AJ112" s="60"/>
    </row>
    <row r="113" spans="2:36" s="9" customFormat="1" x14ac:dyDescent="0.25">
      <c r="B113" s="10"/>
      <c r="D113" s="11"/>
      <c r="AG113" s="18"/>
      <c r="AJ113" s="60"/>
    </row>
    <row r="114" spans="2:36" s="9" customFormat="1" x14ac:dyDescent="0.25">
      <c r="B114" s="10"/>
      <c r="D114" s="11"/>
      <c r="AG114" s="18"/>
      <c r="AJ114" s="60"/>
    </row>
    <row r="115" spans="2:36" s="9" customFormat="1" x14ac:dyDescent="0.25">
      <c r="B115" s="10"/>
      <c r="D115" s="11"/>
      <c r="AG115" s="18"/>
      <c r="AJ115" s="60"/>
    </row>
    <row r="116" spans="2:36" s="9" customFormat="1" x14ac:dyDescent="0.25">
      <c r="B116" s="10"/>
      <c r="D116" s="11"/>
      <c r="AG116" s="18"/>
      <c r="AJ116" s="60"/>
    </row>
    <row r="117" spans="2:36" s="9" customFormat="1" x14ac:dyDescent="0.25">
      <c r="B117" s="10"/>
      <c r="D117" s="11"/>
      <c r="AG117" s="18"/>
      <c r="AJ117" s="60"/>
    </row>
    <row r="118" spans="2:36" s="9" customFormat="1" x14ac:dyDescent="0.25">
      <c r="B118" s="10"/>
      <c r="D118" s="11"/>
      <c r="AG118" s="18"/>
      <c r="AJ118" s="60"/>
    </row>
    <row r="119" spans="2:36" s="9" customFormat="1" x14ac:dyDescent="0.25">
      <c r="B119" s="10"/>
      <c r="D119" s="11"/>
      <c r="AG119" s="18"/>
      <c r="AJ119" s="60"/>
    </row>
    <row r="120" spans="2:36" s="9" customFormat="1" x14ac:dyDescent="0.25">
      <c r="B120" s="10"/>
      <c r="D120" s="11"/>
      <c r="AG120" s="18"/>
      <c r="AJ120" s="60"/>
    </row>
    <row r="121" spans="2:36" s="9" customFormat="1" x14ac:dyDescent="0.25">
      <c r="B121" s="10"/>
      <c r="D121" s="11"/>
      <c r="AG121" s="18"/>
      <c r="AJ121" s="60"/>
    </row>
    <row r="122" spans="2:36" s="9" customFormat="1" x14ac:dyDescent="0.25">
      <c r="B122" s="10"/>
      <c r="D122" s="11"/>
      <c r="AG122" s="18"/>
      <c r="AJ122" s="60"/>
    </row>
    <row r="123" spans="2:36" s="9" customFormat="1" x14ac:dyDescent="0.25">
      <c r="B123" s="10"/>
      <c r="D123" s="11"/>
      <c r="AG123" s="18"/>
      <c r="AJ123" s="60"/>
    </row>
    <row r="124" spans="2:36" s="9" customFormat="1" x14ac:dyDescent="0.25">
      <c r="B124" s="10"/>
      <c r="D124" s="11"/>
      <c r="AG124" s="18"/>
      <c r="AJ124" s="60"/>
    </row>
    <row r="125" spans="2:36" s="9" customFormat="1" x14ac:dyDescent="0.25">
      <c r="B125" s="10"/>
      <c r="D125" s="11"/>
      <c r="AG125" s="18"/>
      <c r="AJ125" s="60"/>
    </row>
    <row r="126" spans="2:36" s="9" customFormat="1" x14ac:dyDescent="0.25">
      <c r="B126" s="10"/>
      <c r="D126" s="11"/>
      <c r="AG126" s="18"/>
      <c r="AJ126" s="60"/>
    </row>
    <row r="127" spans="2:36" s="9" customFormat="1" x14ac:dyDescent="0.25">
      <c r="B127" s="10"/>
      <c r="D127" s="11"/>
      <c r="AG127" s="18"/>
      <c r="AJ127" s="60"/>
    </row>
    <row r="128" spans="2:36" s="9" customFormat="1" x14ac:dyDescent="0.25">
      <c r="B128" s="10"/>
      <c r="D128" s="11"/>
      <c r="AG128" s="18"/>
      <c r="AJ128" s="60"/>
    </row>
    <row r="129" spans="2:36" s="9" customFormat="1" x14ac:dyDescent="0.25">
      <c r="B129" s="10"/>
      <c r="D129" s="11"/>
      <c r="AG129" s="18"/>
      <c r="AJ129" s="60"/>
    </row>
    <row r="130" spans="2:36" s="9" customFormat="1" x14ac:dyDescent="0.25">
      <c r="B130" s="10"/>
      <c r="D130" s="11"/>
      <c r="AG130" s="18"/>
      <c r="AJ130" s="60"/>
    </row>
    <row r="131" spans="2:36" s="9" customFormat="1" x14ac:dyDescent="0.25">
      <c r="B131" s="10"/>
      <c r="D131" s="11"/>
      <c r="AG131" s="18"/>
      <c r="AJ131" s="60"/>
    </row>
    <row r="132" spans="2:36" s="9" customFormat="1" x14ac:dyDescent="0.25">
      <c r="B132" s="10"/>
      <c r="D132" s="11"/>
      <c r="AG132" s="18"/>
      <c r="AJ132" s="60"/>
    </row>
    <row r="133" spans="2:36" s="9" customFormat="1" x14ac:dyDescent="0.25">
      <c r="B133" s="10"/>
      <c r="D133" s="11"/>
      <c r="AG133" s="18"/>
      <c r="AJ133" s="60"/>
    </row>
    <row r="134" spans="2:36" s="9" customFormat="1" x14ac:dyDescent="0.25">
      <c r="B134" s="10"/>
      <c r="D134" s="11"/>
      <c r="AG134" s="18"/>
      <c r="AJ134" s="60"/>
    </row>
    <row r="135" spans="2:36" s="9" customFormat="1" x14ac:dyDescent="0.25">
      <c r="B135" s="10"/>
      <c r="D135" s="11"/>
      <c r="AG135" s="18"/>
      <c r="AJ135" s="60"/>
    </row>
    <row r="136" spans="2:36" s="9" customFormat="1" x14ac:dyDescent="0.25">
      <c r="B136" s="10"/>
      <c r="D136" s="11"/>
      <c r="AG136" s="18"/>
      <c r="AJ136" s="60"/>
    </row>
    <row r="137" spans="2:36" s="9" customFormat="1" x14ac:dyDescent="0.25">
      <c r="B137" s="10"/>
      <c r="D137" s="11"/>
      <c r="AG137" s="18"/>
      <c r="AJ137" s="60"/>
    </row>
    <row r="138" spans="2:36" s="9" customFormat="1" x14ac:dyDescent="0.25">
      <c r="B138" s="10"/>
      <c r="D138" s="11"/>
      <c r="AG138" s="18"/>
      <c r="AJ138" s="60"/>
    </row>
    <row r="139" spans="2:36" s="9" customFormat="1" x14ac:dyDescent="0.25">
      <c r="B139" s="10"/>
      <c r="D139" s="11"/>
      <c r="AG139" s="18"/>
      <c r="AJ139" s="60"/>
    </row>
    <row r="140" spans="2:36" s="9" customFormat="1" x14ac:dyDescent="0.25">
      <c r="B140" s="10"/>
      <c r="D140" s="11"/>
      <c r="AG140" s="18"/>
      <c r="AJ140" s="60"/>
    </row>
    <row r="141" spans="2:36" s="9" customFormat="1" x14ac:dyDescent="0.25">
      <c r="B141" s="10"/>
      <c r="D141" s="11"/>
      <c r="AG141" s="18"/>
      <c r="AJ141" s="60"/>
    </row>
    <row r="142" spans="2:36" s="9" customFormat="1" x14ac:dyDescent="0.25">
      <c r="B142" s="10"/>
      <c r="D142" s="11"/>
      <c r="AG142" s="18"/>
      <c r="AJ142" s="60"/>
    </row>
    <row r="143" spans="2:36" s="9" customFormat="1" x14ac:dyDescent="0.25">
      <c r="B143" s="10"/>
      <c r="D143" s="11"/>
      <c r="AG143" s="18"/>
      <c r="AJ143" s="60"/>
    </row>
    <row r="144" spans="2:36" s="9" customFormat="1" x14ac:dyDescent="0.25">
      <c r="B144" s="10"/>
      <c r="D144" s="11"/>
      <c r="AG144" s="18"/>
      <c r="AJ144" s="60"/>
    </row>
    <row r="145" spans="2:36" s="9" customFormat="1" x14ac:dyDescent="0.25">
      <c r="B145" s="10"/>
      <c r="D145" s="11"/>
      <c r="AG145" s="18"/>
      <c r="AJ145" s="60"/>
    </row>
    <row r="146" spans="2:36" s="9" customFormat="1" x14ac:dyDescent="0.25">
      <c r="B146" s="10"/>
      <c r="D146" s="11"/>
      <c r="AG146" s="18"/>
      <c r="AJ146" s="60"/>
    </row>
    <row r="147" spans="2:36" s="9" customFormat="1" x14ac:dyDescent="0.25">
      <c r="B147" s="10"/>
      <c r="D147" s="11"/>
      <c r="AG147" s="18"/>
      <c r="AJ147" s="60"/>
    </row>
    <row r="148" spans="2:36" s="9" customFormat="1" x14ac:dyDescent="0.25">
      <c r="B148" s="10"/>
      <c r="D148" s="11"/>
      <c r="AG148" s="18"/>
      <c r="AJ148" s="60"/>
    </row>
    <row r="149" spans="2:36" s="9" customFormat="1" x14ac:dyDescent="0.25">
      <c r="B149" s="10"/>
      <c r="D149" s="11"/>
      <c r="AG149" s="18"/>
      <c r="AJ149" s="60"/>
    </row>
    <row r="150" spans="2:36" s="9" customFormat="1" x14ac:dyDescent="0.25">
      <c r="B150" s="10"/>
      <c r="D150" s="11"/>
      <c r="AG150" s="18"/>
      <c r="AJ150" s="60"/>
    </row>
    <row r="151" spans="2:36" s="9" customFormat="1" x14ac:dyDescent="0.25">
      <c r="B151" s="10"/>
      <c r="D151" s="11"/>
      <c r="AG151" s="18"/>
      <c r="AJ151" s="60"/>
    </row>
    <row r="152" spans="2:36" s="9" customFormat="1" x14ac:dyDescent="0.25">
      <c r="B152" s="10"/>
      <c r="D152" s="11"/>
      <c r="AG152" s="18"/>
      <c r="AJ152" s="60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I2:AJ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8C41-CF0D-4A5A-9124-7E274DEAE4C3}">
  <sheetPr>
    <tabColor theme="5"/>
  </sheetPr>
  <dimension ref="A1:BI152"/>
  <sheetViews>
    <sheetView zoomScale="115" zoomScaleNormal="115" workbookViewId="0">
      <selection activeCell="AI36" sqref="AI36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5.85546875" style="9" customWidth="1"/>
    <col min="15" max="15" width="21.85546875" style="9" customWidth="1"/>
    <col min="16" max="16" width="7.42578125" style="9" customWidth="1"/>
    <col min="17" max="18" width="11.42578125" style="9" customWidth="1"/>
    <col min="19" max="19" width="4" style="9" customWidth="1"/>
    <col min="20" max="20" width="0" style="9" hidden="1" customWidth="1"/>
    <col min="21" max="21" width="21.85546875" style="9" hidden="1" customWidth="1"/>
    <col min="22" max="22" width="7.42578125" style="9" hidden="1" customWidth="1"/>
    <col min="23" max="24" width="11.42578125" style="9" hidden="1" customWidth="1"/>
    <col min="25" max="25" width="4.5703125" style="9" hidden="1" customWidth="1"/>
    <col min="26" max="26" width="11.42578125" style="9" hidden="1" customWidth="1"/>
    <col min="27" max="27" width="21.85546875" style="9" hidden="1" customWidth="1"/>
    <col min="28" max="31" width="11.42578125" style="9" hidden="1" customWidth="1"/>
    <col min="32" max="32" width="3.42578125" style="9" customWidth="1"/>
    <col min="33" max="33" width="0.85546875" style="18" customWidth="1"/>
    <col min="34" max="34" width="11.42578125" style="9"/>
    <col min="35" max="35" width="24" style="9" customWidth="1"/>
    <col min="36" max="36" width="11.42578125" style="60"/>
    <col min="37" max="61" width="11.42578125" style="9"/>
  </cols>
  <sheetData>
    <row r="1" spans="1:61" s="9" customFormat="1" x14ac:dyDescent="0.25">
      <c r="B1" s="10"/>
      <c r="D1" s="11"/>
      <c r="AG1" s="18"/>
      <c r="AJ1" s="60"/>
    </row>
    <row r="2" spans="1:61" s="9" customFormat="1" ht="28.5" customHeight="1" thickBot="1" x14ac:dyDescent="0.3">
      <c r="B2" s="10"/>
      <c r="D2" s="11"/>
      <c r="AG2" s="18"/>
      <c r="AI2" s="86" t="s">
        <v>53</v>
      </c>
      <c r="AJ2" s="86"/>
      <c r="AK2" s="26"/>
      <c r="AL2" s="26"/>
      <c r="AM2" s="26"/>
    </row>
    <row r="3" spans="1:61" ht="22.5" customHeight="1" thickBot="1" x14ac:dyDescent="0.3">
      <c r="C3" s="87" t="s">
        <v>93</v>
      </c>
      <c r="D3" s="88"/>
      <c r="E3" s="88"/>
      <c r="F3" s="89"/>
      <c r="H3" s="8"/>
      <c r="I3" s="87" t="s">
        <v>94</v>
      </c>
      <c r="J3" s="88"/>
      <c r="K3" s="88"/>
      <c r="L3" s="89"/>
      <c r="N3" s="8"/>
      <c r="O3" s="87" t="s">
        <v>95</v>
      </c>
      <c r="P3" s="88"/>
      <c r="Q3" s="88"/>
      <c r="R3" s="89"/>
      <c r="T3" s="8"/>
      <c r="U3" s="87" t="s">
        <v>48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F3" s="20"/>
      <c r="AI3" s="24"/>
      <c r="AJ3" s="26"/>
      <c r="AK3" s="24"/>
      <c r="AL3" s="24"/>
      <c r="AM3" s="24"/>
    </row>
    <row r="4" spans="1:61" s="32" customFormat="1" ht="15.75" customHeight="1" thickBot="1" x14ac:dyDescent="0.3">
      <c r="A4" s="29"/>
      <c r="B4" s="91" t="s">
        <v>9</v>
      </c>
      <c r="C4" s="27" t="s">
        <v>1</v>
      </c>
      <c r="D4" s="12">
        <v>100</v>
      </c>
      <c r="E4" s="94"/>
      <c r="F4" s="95"/>
      <c r="G4" s="29"/>
      <c r="H4" s="91" t="s">
        <v>9</v>
      </c>
      <c r="I4" s="27" t="s">
        <v>1</v>
      </c>
      <c r="J4" s="12">
        <v>67</v>
      </c>
      <c r="K4" s="94"/>
      <c r="L4" s="95"/>
      <c r="M4" s="29"/>
      <c r="N4" s="91" t="s">
        <v>9</v>
      </c>
      <c r="O4" s="27" t="s">
        <v>1</v>
      </c>
      <c r="P4" s="12">
        <v>112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0"/>
      <c r="AG4" s="31"/>
      <c r="AH4" s="29"/>
      <c r="AI4" s="28" t="s">
        <v>1</v>
      </c>
      <c r="AJ4" s="25">
        <f>J4+P4+V4+D4</f>
        <v>279</v>
      </c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</row>
    <row r="5" spans="1:61" ht="15.75" customHeight="1" x14ac:dyDescent="0.25">
      <c r="B5" s="92"/>
      <c r="C5" s="6" t="s">
        <v>0</v>
      </c>
      <c r="D5" s="16">
        <v>25</v>
      </c>
      <c r="E5" s="96"/>
      <c r="F5" s="97"/>
      <c r="H5" s="92"/>
      <c r="I5" s="6" t="s">
        <v>0</v>
      </c>
      <c r="J5" s="16">
        <v>17</v>
      </c>
      <c r="K5" s="96"/>
      <c r="L5" s="97"/>
      <c r="N5" s="92"/>
      <c r="O5" s="6" t="s">
        <v>0</v>
      </c>
      <c r="P5" s="16">
        <v>58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F5" s="17"/>
      <c r="AI5" s="6" t="s">
        <v>0</v>
      </c>
      <c r="AJ5" s="16">
        <f>J5+P5+V5+D5</f>
        <v>100</v>
      </c>
    </row>
    <row r="6" spans="1:61" ht="15.75" customHeight="1" x14ac:dyDescent="0.25">
      <c r="B6" s="92"/>
      <c r="C6" s="2" t="s">
        <v>2</v>
      </c>
      <c r="D6" s="4">
        <v>0</v>
      </c>
      <c r="E6" s="96"/>
      <c r="F6" s="97"/>
      <c r="H6" s="92"/>
      <c r="I6" s="2" t="s">
        <v>2</v>
      </c>
      <c r="J6" s="4">
        <v>14</v>
      </c>
      <c r="K6" s="96"/>
      <c r="L6" s="97"/>
      <c r="N6" s="92"/>
      <c r="O6" s="2" t="s">
        <v>2</v>
      </c>
      <c r="P6" s="4">
        <v>25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F6" s="17"/>
      <c r="AI6" s="2" t="s">
        <v>2</v>
      </c>
      <c r="AJ6" s="4">
        <f>+J6+P6+V6+D6</f>
        <v>39</v>
      </c>
    </row>
    <row r="7" spans="1:61" x14ac:dyDescent="0.25">
      <c r="B7" s="92"/>
      <c r="C7" s="2" t="s">
        <v>3</v>
      </c>
      <c r="D7" s="4">
        <v>0</v>
      </c>
      <c r="E7" s="96"/>
      <c r="F7" s="97"/>
      <c r="H7" s="92"/>
      <c r="I7" s="2" t="s">
        <v>3</v>
      </c>
      <c r="J7" s="4">
        <v>21</v>
      </c>
      <c r="K7" s="96"/>
      <c r="L7" s="97"/>
      <c r="N7" s="92"/>
      <c r="O7" s="2" t="s">
        <v>3</v>
      </c>
      <c r="P7" s="4">
        <v>31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F7" s="17"/>
      <c r="AI7" s="2" t="s">
        <v>3</v>
      </c>
      <c r="AJ7" s="4">
        <f>+J7+P7+V7</f>
        <v>52</v>
      </c>
    </row>
    <row r="8" spans="1:61" x14ac:dyDescent="0.25">
      <c r="B8" s="92"/>
      <c r="C8" s="2" t="s">
        <v>4</v>
      </c>
      <c r="D8" s="4">
        <v>0</v>
      </c>
      <c r="E8" s="96"/>
      <c r="F8" s="97"/>
      <c r="H8" s="92"/>
      <c r="I8" s="2" t="s">
        <v>4</v>
      </c>
      <c r="J8" s="4">
        <v>16</v>
      </c>
      <c r="K8" s="96"/>
      <c r="L8" s="97"/>
      <c r="N8" s="92"/>
      <c r="O8" s="2" t="s">
        <v>4</v>
      </c>
      <c r="P8" s="4">
        <v>22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F8" s="17"/>
      <c r="AI8" s="2" t="s">
        <v>4</v>
      </c>
      <c r="AJ8" s="4">
        <f t="shared" ref="AJ8:AJ15" si="0">+J8+P8+V8</f>
        <v>38</v>
      </c>
    </row>
    <row r="9" spans="1:61" x14ac:dyDescent="0.25">
      <c r="B9" s="92"/>
      <c r="C9" s="2" t="s">
        <v>5</v>
      </c>
      <c r="D9" s="4">
        <v>0</v>
      </c>
      <c r="E9" s="96"/>
      <c r="F9" s="97"/>
      <c r="H9" s="92"/>
      <c r="I9" s="2" t="s">
        <v>5</v>
      </c>
      <c r="J9" s="4">
        <v>11</v>
      </c>
      <c r="K9" s="96"/>
      <c r="L9" s="97"/>
      <c r="N9" s="92"/>
      <c r="O9" s="2" t="s">
        <v>5</v>
      </c>
      <c r="P9" s="4">
        <v>25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F9" s="17"/>
      <c r="AI9" s="2" t="s">
        <v>5</v>
      </c>
      <c r="AJ9" s="4">
        <f t="shared" si="0"/>
        <v>36</v>
      </c>
    </row>
    <row r="10" spans="1:61" ht="15.75" thickBot="1" x14ac:dyDescent="0.3">
      <c r="B10" s="92"/>
      <c r="C10" s="7" t="s">
        <v>6</v>
      </c>
      <c r="D10" s="15">
        <v>0</v>
      </c>
      <c r="E10" s="96"/>
      <c r="F10" s="97"/>
      <c r="H10" s="92"/>
      <c r="I10" s="7" t="s">
        <v>6</v>
      </c>
      <c r="J10" s="15">
        <v>3</v>
      </c>
      <c r="K10" s="96"/>
      <c r="L10" s="97"/>
      <c r="N10" s="92"/>
      <c r="O10" s="7" t="s">
        <v>6</v>
      </c>
      <c r="P10" s="15">
        <v>2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F10" s="17"/>
      <c r="AI10" s="7" t="s">
        <v>6</v>
      </c>
      <c r="AJ10" s="15">
        <f t="shared" si="0"/>
        <v>5</v>
      </c>
    </row>
    <row r="11" spans="1:61" ht="15.75" thickBot="1" x14ac:dyDescent="0.3">
      <c r="B11" s="92"/>
      <c r="C11" s="2" t="s">
        <v>7</v>
      </c>
      <c r="D11" s="4">
        <v>0</v>
      </c>
      <c r="E11" s="98" t="s">
        <v>33</v>
      </c>
      <c r="F11" s="99"/>
      <c r="H11" s="92"/>
      <c r="I11" s="2" t="s">
        <v>7</v>
      </c>
      <c r="J11" s="4">
        <v>2</v>
      </c>
      <c r="K11" s="98" t="s">
        <v>33</v>
      </c>
      <c r="L11" s="99"/>
      <c r="N11" s="92"/>
      <c r="O11" s="2" t="s">
        <v>7</v>
      </c>
      <c r="P11" s="4">
        <v>7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F11" s="19"/>
      <c r="AI11" s="2" t="s">
        <v>7</v>
      </c>
      <c r="AJ11" s="4">
        <f t="shared" si="0"/>
        <v>9</v>
      </c>
    </row>
    <row r="12" spans="1:61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F12" s="17"/>
      <c r="AI12" s="2" t="s">
        <v>49</v>
      </c>
      <c r="AJ12" s="4">
        <f t="shared" si="0"/>
        <v>0</v>
      </c>
    </row>
    <row r="13" spans="1:61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F13" s="17"/>
      <c r="AI13" s="2" t="s">
        <v>50</v>
      </c>
      <c r="AJ13" s="4">
        <f t="shared" si="0"/>
        <v>0</v>
      </c>
    </row>
    <row r="14" spans="1:61" x14ac:dyDescent="0.25">
      <c r="B14" s="92"/>
      <c r="C14" s="2" t="s">
        <v>51</v>
      </c>
      <c r="D14" s="4">
        <v>0</v>
      </c>
      <c r="E14" s="17"/>
      <c r="F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F14" s="17"/>
      <c r="AI14" s="2" t="s">
        <v>51</v>
      </c>
      <c r="AJ14" s="4">
        <f t="shared" si="0"/>
        <v>0</v>
      </c>
    </row>
    <row r="15" spans="1:61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F15" s="19"/>
      <c r="AI15" s="3" t="s">
        <v>52</v>
      </c>
      <c r="AJ15" s="5">
        <f t="shared" si="0"/>
        <v>0</v>
      </c>
    </row>
    <row r="16" spans="1:61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G16" s="18"/>
      <c r="AJ16" s="60"/>
    </row>
    <row r="17" spans="2:36" x14ac:dyDescent="0.25">
      <c r="B17" s="104" t="s">
        <v>28</v>
      </c>
      <c r="C17" s="6" t="s">
        <v>10</v>
      </c>
      <c r="D17" s="107" t="s">
        <v>73</v>
      </c>
      <c r="E17" s="108"/>
      <c r="F17" s="9"/>
      <c r="H17" s="104" t="s">
        <v>28</v>
      </c>
      <c r="I17" s="6" t="s">
        <v>10</v>
      </c>
      <c r="J17" s="107" t="s">
        <v>96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34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6" ht="15.75" thickBot="1" x14ac:dyDescent="0.3">
      <c r="B18" s="105"/>
      <c r="C18" s="2" t="s">
        <v>11</v>
      </c>
      <c r="D18" s="100" t="s">
        <v>97</v>
      </c>
      <c r="E18" s="101"/>
      <c r="F18" s="9"/>
      <c r="H18" s="105"/>
      <c r="I18" s="2" t="s">
        <v>11</v>
      </c>
      <c r="J18" s="100" t="s">
        <v>98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35</v>
      </c>
      <c r="W18" s="101"/>
      <c r="Z18" s="105"/>
      <c r="AA18" s="2" t="s">
        <v>11</v>
      </c>
      <c r="AB18" s="100" t="s">
        <v>35</v>
      </c>
      <c r="AC18" s="101"/>
    </row>
    <row r="19" spans="2:36" ht="15.75" thickBot="1" x14ac:dyDescent="0.3">
      <c r="B19" s="105"/>
      <c r="C19" s="2" t="s">
        <v>12</v>
      </c>
      <c r="D19" s="100" t="s">
        <v>99</v>
      </c>
      <c r="E19" s="101"/>
      <c r="F19" s="9"/>
      <c r="H19" s="105"/>
      <c r="I19" s="2" t="s">
        <v>12</v>
      </c>
      <c r="J19" s="100" t="s">
        <v>100</v>
      </c>
      <c r="K19" s="101"/>
      <c r="N19" s="105"/>
      <c r="O19" s="2" t="s">
        <v>12</v>
      </c>
      <c r="P19" s="100" t="s">
        <v>101</v>
      </c>
      <c r="Q19" s="101"/>
      <c r="T19" s="105"/>
      <c r="U19" s="2" t="s">
        <v>12</v>
      </c>
      <c r="V19" s="100" t="s">
        <v>36</v>
      </c>
      <c r="W19" s="101"/>
      <c r="Z19" s="105"/>
      <c r="AA19" s="2" t="s">
        <v>12</v>
      </c>
      <c r="AB19" s="100" t="s">
        <v>36</v>
      </c>
      <c r="AC19" s="101"/>
      <c r="AI19" s="51" t="s">
        <v>54</v>
      </c>
      <c r="AJ19" s="52">
        <f>+AJ20+AJ21</f>
        <v>4</v>
      </c>
    </row>
    <row r="20" spans="2:36" ht="15.75" thickBot="1" x14ac:dyDescent="0.3">
      <c r="B20" s="106"/>
      <c r="C20" s="3" t="s">
        <v>13</v>
      </c>
      <c r="D20" s="102" t="s">
        <v>36</v>
      </c>
      <c r="E20" s="103"/>
      <c r="F20" s="9"/>
      <c r="H20" s="106"/>
      <c r="I20" s="3" t="s">
        <v>13</v>
      </c>
      <c r="J20" s="102"/>
      <c r="K20" s="103"/>
      <c r="N20" s="106"/>
      <c r="O20" s="3" t="s">
        <v>13</v>
      </c>
      <c r="P20" s="102" t="s">
        <v>36</v>
      </c>
      <c r="Q20" s="103"/>
      <c r="T20" s="106"/>
      <c r="U20" s="3" t="s">
        <v>13</v>
      </c>
      <c r="V20" s="102" t="s">
        <v>36</v>
      </c>
      <c r="W20" s="103"/>
      <c r="Z20" s="106"/>
      <c r="AA20" s="3" t="s">
        <v>13</v>
      </c>
      <c r="AB20" s="102" t="s">
        <v>36</v>
      </c>
      <c r="AC20" s="103"/>
      <c r="AI20" s="49" t="s">
        <v>55</v>
      </c>
      <c r="AJ20" s="61">
        <v>3</v>
      </c>
    </row>
    <row r="21" spans="2:36" ht="15.75" thickBot="1" x14ac:dyDescent="0.3">
      <c r="B21" s="109" t="s">
        <v>29</v>
      </c>
      <c r="C21" s="6" t="s">
        <v>14</v>
      </c>
      <c r="D21" s="107" t="s">
        <v>102</v>
      </c>
      <c r="E21" s="108"/>
      <c r="F21" s="9"/>
      <c r="H21" s="109" t="s">
        <v>29</v>
      </c>
      <c r="I21" s="6" t="s">
        <v>14</v>
      </c>
      <c r="J21" s="107" t="s">
        <v>103</v>
      </c>
      <c r="K21" s="108"/>
      <c r="N21" s="109" t="s">
        <v>29</v>
      </c>
      <c r="O21" s="6" t="s">
        <v>14</v>
      </c>
      <c r="P21" s="107" t="s">
        <v>104</v>
      </c>
      <c r="Q21" s="108"/>
      <c r="T21" s="109" t="s">
        <v>29</v>
      </c>
      <c r="U21" s="6" t="s">
        <v>14</v>
      </c>
      <c r="V21" s="107" t="s">
        <v>37</v>
      </c>
      <c r="W21" s="108"/>
      <c r="Z21" s="109" t="s">
        <v>29</v>
      </c>
      <c r="AA21" s="6" t="s">
        <v>14</v>
      </c>
      <c r="AB21" s="107" t="s">
        <v>37</v>
      </c>
      <c r="AC21" s="108"/>
      <c r="AI21" s="47" t="s">
        <v>56</v>
      </c>
      <c r="AJ21" s="62">
        <v>1</v>
      </c>
    </row>
    <row r="22" spans="2:36" x14ac:dyDescent="0.25">
      <c r="B22" s="110"/>
      <c r="C22" s="2" t="s">
        <v>15</v>
      </c>
      <c r="D22" s="137">
        <v>5419397</v>
      </c>
      <c r="E22" s="101"/>
      <c r="F22" s="9"/>
      <c r="H22" s="110"/>
      <c r="I22" s="2" t="s">
        <v>15</v>
      </c>
      <c r="J22" s="137">
        <v>23685256</v>
      </c>
      <c r="K22" s="101"/>
      <c r="N22" s="110"/>
      <c r="O22" s="2" t="s">
        <v>15</v>
      </c>
      <c r="P22" s="137">
        <v>15332837</v>
      </c>
      <c r="Q22" s="101"/>
      <c r="T22" s="110"/>
      <c r="U22" s="2" t="s">
        <v>15</v>
      </c>
      <c r="V22" s="100" t="s">
        <v>38</v>
      </c>
      <c r="W22" s="101"/>
      <c r="Z22" s="110"/>
      <c r="AA22" s="2" t="s">
        <v>15</v>
      </c>
      <c r="AB22" s="100" t="s">
        <v>38</v>
      </c>
      <c r="AC22" s="101"/>
    </row>
    <row r="23" spans="2:36" x14ac:dyDescent="0.25">
      <c r="B23" s="110"/>
      <c r="C23" s="2" t="s">
        <v>16</v>
      </c>
      <c r="D23" s="100" t="s">
        <v>105</v>
      </c>
      <c r="E23" s="101"/>
      <c r="F23" s="9"/>
      <c r="H23" s="110"/>
      <c r="I23" s="2" t="s">
        <v>16</v>
      </c>
      <c r="J23" s="100" t="s">
        <v>106</v>
      </c>
      <c r="K23" s="101"/>
      <c r="N23" s="110"/>
      <c r="O23" s="2" t="s">
        <v>16</v>
      </c>
      <c r="P23" s="100" t="s">
        <v>107</v>
      </c>
      <c r="Q23" s="101"/>
      <c r="T23" s="110"/>
      <c r="U23" s="2" t="s">
        <v>16</v>
      </c>
      <c r="V23" s="100" t="s">
        <v>39</v>
      </c>
      <c r="W23" s="101"/>
      <c r="Z23" s="110"/>
      <c r="AA23" s="2" t="s">
        <v>16</v>
      </c>
      <c r="AB23" s="100" t="s">
        <v>39</v>
      </c>
      <c r="AC23" s="101"/>
    </row>
    <row r="24" spans="2:36" ht="15.75" thickBot="1" x14ac:dyDescent="0.3">
      <c r="B24" s="111"/>
      <c r="C24" s="3" t="s">
        <v>17</v>
      </c>
      <c r="D24" s="102" t="s">
        <v>108</v>
      </c>
      <c r="E24" s="103"/>
      <c r="F24" s="9"/>
      <c r="H24" s="111"/>
      <c r="I24" s="3" t="s">
        <v>17</v>
      </c>
      <c r="J24" s="102" t="s">
        <v>109</v>
      </c>
      <c r="K24" s="103"/>
      <c r="N24" s="111"/>
      <c r="O24" s="3" t="s">
        <v>17</v>
      </c>
      <c r="P24" s="102" t="s">
        <v>110</v>
      </c>
      <c r="Q24" s="103"/>
      <c r="T24" s="111"/>
      <c r="U24" s="3" t="s">
        <v>17</v>
      </c>
      <c r="V24" s="102" t="s">
        <v>40</v>
      </c>
      <c r="W24" s="103"/>
      <c r="Z24" s="111"/>
      <c r="AA24" s="3" t="s">
        <v>17</v>
      </c>
      <c r="AB24" s="102" t="s">
        <v>40</v>
      </c>
      <c r="AC24" s="103"/>
    </row>
    <row r="25" spans="2:36" x14ac:dyDescent="0.25">
      <c r="B25" s="109" t="s">
        <v>30</v>
      </c>
      <c r="C25" s="6" t="s">
        <v>18</v>
      </c>
      <c r="D25" s="107" t="s">
        <v>111</v>
      </c>
      <c r="E25" s="108"/>
      <c r="F25" s="9"/>
      <c r="H25" s="109" t="s">
        <v>30</v>
      </c>
      <c r="I25" s="6" t="s">
        <v>18</v>
      </c>
      <c r="J25" s="107" t="s">
        <v>112</v>
      </c>
      <c r="K25" s="108"/>
      <c r="N25" s="109" t="s">
        <v>30</v>
      </c>
      <c r="O25" s="6" t="s">
        <v>18</v>
      </c>
      <c r="P25" s="107" t="s">
        <v>113</v>
      </c>
      <c r="Q25" s="108"/>
      <c r="T25" s="109" t="s">
        <v>30</v>
      </c>
      <c r="U25" s="6" t="s">
        <v>18</v>
      </c>
      <c r="V25" s="107" t="s">
        <v>41</v>
      </c>
      <c r="W25" s="108"/>
      <c r="Z25" s="109" t="s">
        <v>30</v>
      </c>
      <c r="AA25" s="6" t="s">
        <v>18</v>
      </c>
      <c r="AB25" s="107" t="s">
        <v>41</v>
      </c>
      <c r="AC25" s="108"/>
    </row>
    <row r="26" spans="2:36" x14ac:dyDescent="0.25">
      <c r="B26" s="110"/>
      <c r="C26" s="2" t="s">
        <v>15</v>
      </c>
      <c r="D26" s="100"/>
      <c r="E26" s="101"/>
      <c r="F26" s="9"/>
      <c r="H26" s="110"/>
      <c r="I26" s="2" t="s">
        <v>15</v>
      </c>
      <c r="J26" s="137">
        <v>14841540</v>
      </c>
      <c r="K26" s="101"/>
      <c r="N26" s="110"/>
      <c r="O26" s="2" t="s">
        <v>15</v>
      </c>
      <c r="P26" s="137">
        <v>11158734</v>
      </c>
      <c r="Q26" s="101"/>
      <c r="T26" s="110"/>
      <c r="U26" s="2" t="s">
        <v>15</v>
      </c>
      <c r="V26" s="100" t="s">
        <v>38</v>
      </c>
      <c r="W26" s="101"/>
      <c r="Z26" s="110"/>
      <c r="AA26" s="2" t="s">
        <v>15</v>
      </c>
      <c r="AB26" s="100" t="s">
        <v>38</v>
      </c>
      <c r="AC26" s="101"/>
    </row>
    <row r="27" spans="2:36" x14ac:dyDescent="0.25">
      <c r="B27" s="110"/>
      <c r="C27" s="2" t="s">
        <v>16</v>
      </c>
      <c r="D27" s="100"/>
      <c r="E27" s="101"/>
      <c r="F27" s="9"/>
      <c r="H27" s="110"/>
      <c r="I27" s="2" t="s">
        <v>16</v>
      </c>
      <c r="J27" s="100" t="s">
        <v>114</v>
      </c>
      <c r="K27" s="101"/>
      <c r="N27" s="110"/>
      <c r="O27" s="2" t="s">
        <v>16</v>
      </c>
      <c r="P27" s="100" t="s">
        <v>115</v>
      </c>
      <c r="Q27" s="101"/>
      <c r="T27" s="110"/>
      <c r="U27" s="2" t="s">
        <v>16</v>
      </c>
      <c r="V27" s="100" t="s">
        <v>39</v>
      </c>
      <c r="W27" s="101"/>
      <c r="Z27" s="110"/>
      <c r="AA27" s="2" t="s">
        <v>16</v>
      </c>
      <c r="AB27" s="100" t="s">
        <v>39</v>
      </c>
      <c r="AC27" s="101"/>
    </row>
    <row r="28" spans="2:36" x14ac:dyDescent="0.25">
      <c r="B28" s="110"/>
      <c r="C28" s="2" t="s">
        <v>19</v>
      </c>
      <c r="D28" s="100"/>
      <c r="E28" s="101"/>
      <c r="F28" s="9"/>
      <c r="H28" s="110"/>
      <c r="I28" s="2" t="s">
        <v>19</v>
      </c>
      <c r="J28" s="100" t="s">
        <v>116</v>
      </c>
      <c r="K28" s="101"/>
      <c r="N28" s="110"/>
      <c r="O28" s="2" t="s">
        <v>19</v>
      </c>
      <c r="P28" s="100" t="s">
        <v>117</v>
      </c>
      <c r="Q28" s="101"/>
      <c r="T28" s="110"/>
      <c r="U28" s="2" t="s">
        <v>19</v>
      </c>
      <c r="V28" s="100" t="s">
        <v>42</v>
      </c>
      <c r="W28" s="101"/>
      <c r="Z28" s="110"/>
      <c r="AA28" s="2" t="s">
        <v>19</v>
      </c>
      <c r="AB28" s="100" t="s">
        <v>42</v>
      </c>
      <c r="AC28" s="101"/>
    </row>
    <row r="29" spans="2:36" x14ac:dyDescent="0.25">
      <c r="B29" s="110"/>
      <c r="C29" s="2" t="s">
        <v>20</v>
      </c>
      <c r="D29" s="100"/>
      <c r="E29" s="101"/>
      <c r="F29" s="9"/>
      <c r="H29" s="110"/>
      <c r="I29" s="2" t="s">
        <v>20</v>
      </c>
      <c r="J29" s="100">
        <v>10</v>
      </c>
      <c r="K29" s="101"/>
      <c r="N29" s="110"/>
      <c r="O29" s="2" t="s">
        <v>20</v>
      </c>
      <c r="P29" s="100" t="s">
        <v>118</v>
      </c>
      <c r="Q29" s="101"/>
      <c r="T29" s="110"/>
      <c r="U29" s="2" t="s">
        <v>20</v>
      </c>
      <c r="V29" s="100" t="s">
        <v>8</v>
      </c>
      <c r="W29" s="101"/>
      <c r="Z29" s="110"/>
      <c r="AA29" s="2" t="s">
        <v>20</v>
      </c>
      <c r="AB29" s="100" t="s">
        <v>8</v>
      </c>
      <c r="AC29" s="101"/>
    </row>
    <row r="30" spans="2:36" ht="15.75" thickBot="1" x14ac:dyDescent="0.3">
      <c r="B30" s="111"/>
      <c r="C30" s="3" t="s">
        <v>21</v>
      </c>
      <c r="D30" s="102"/>
      <c r="E30" s="103"/>
      <c r="F30" s="9"/>
      <c r="H30" s="111"/>
      <c r="I30" s="3" t="s">
        <v>21</v>
      </c>
      <c r="J30" s="102" t="s">
        <v>119</v>
      </c>
      <c r="K30" s="103"/>
      <c r="N30" s="111"/>
      <c r="O30" s="3" t="s">
        <v>21</v>
      </c>
      <c r="P30" s="102" t="s">
        <v>120</v>
      </c>
      <c r="Q30" s="103"/>
      <c r="T30" s="111"/>
      <c r="U30" s="3" t="s">
        <v>21</v>
      </c>
      <c r="V30" s="102" t="s">
        <v>8</v>
      </c>
      <c r="W30" s="103"/>
      <c r="Z30" s="111"/>
      <c r="AA30" s="3" t="s">
        <v>21</v>
      </c>
      <c r="AB30" s="102" t="s">
        <v>8</v>
      </c>
      <c r="AC30" s="103"/>
    </row>
    <row r="31" spans="2:36" x14ac:dyDescent="0.25">
      <c r="B31" s="104" t="s">
        <v>32</v>
      </c>
      <c r="C31" s="6" t="s">
        <v>23</v>
      </c>
      <c r="D31" s="107" t="s">
        <v>88</v>
      </c>
      <c r="E31" s="108"/>
      <c r="F31" s="9"/>
      <c r="H31" s="104" t="s">
        <v>32</v>
      </c>
      <c r="I31" s="6" t="s">
        <v>23</v>
      </c>
      <c r="J31" s="107" t="s">
        <v>88</v>
      </c>
      <c r="K31" s="108"/>
      <c r="N31" s="104" t="s">
        <v>32</v>
      </c>
      <c r="O31" s="6" t="s">
        <v>23</v>
      </c>
      <c r="P31" s="107" t="s">
        <v>87</v>
      </c>
      <c r="Q31" s="108"/>
      <c r="T31" s="104" t="s">
        <v>32</v>
      </c>
      <c r="U31" s="6" t="s">
        <v>23</v>
      </c>
      <c r="V31" s="107" t="s">
        <v>22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6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88</v>
      </c>
      <c r="K32" s="113"/>
      <c r="N32" s="105"/>
      <c r="O32" s="2" t="s">
        <v>24</v>
      </c>
      <c r="P32" s="112" t="s">
        <v>87</v>
      </c>
      <c r="Q32" s="113"/>
      <c r="T32" s="105"/>
      <c r="U32" s="2" t="s">
        <v>24</v>
      </c>
      <c r="V32" s="112" t="s">
        <v>22</v>
      </c>
      <c r="W32" s="113"/>
      <c r="Z32" s="105"/>
      <c r="AA32" s="2" t="s">
        <v>24</v>
      </c>
      <c r="AB32" s="112" t="s">
        <v>22</v>
      </c>
      <c r="AC32" s="113"/>
    </row>
    <row r="33" spans="2:36" x14ac:dyDescent="0.25">
      <c r="B33" s="105"/>
      <c r="C33" s="2" t="s">
        <v>25</v>
      </c>
      <c r="D33" s="112" t="s">
        <v>88</v>
      </c>
      <c r="E33" s="113"/>
      <c r="F33" s="9"/>
      <c r="H33" s="105"/>
      <c r="I33" s="2" t="s">
        <v>25</v>
      </c>
      <c r="J33" s="112" t="s">
        <v>88</v>
      </c>
      <c r="K33" s="113"/>
      <c r="N33" s="105"/>
      <c r="O33" s="2" t="s">
        <v>25</v>
      </c>
      <c r="P33" s="112" t="s">
        <v>88</v>
      </c>
      <c r="Q33" s="113"/>
      <c r="T33" s="105"/>
      <c r="U33" s="2" t="s">
        <v>25</v>
      </c>
      <c r="V33" s="112" t="s">
        <v>22</v>
      </c>
      <c r="W33" s="113"/>
      <c r="Z33" s="105"/>
      <c r="AA33" s="2" t="s">
        <v>25</v>
      </c>
      <c r="AB33" s="112" t="s">
        <v>22</v>
      </c>
      <c r="AC33" s="113"/>
    </row>
    <row r="34" spans="2:36" ht="15.75" thickBot="1" x14ac:dyDescent="0.3">
      <c r="B34" s="105"/>
      <c r="C34" s="7" t="s">
        <v>26</v>
      </c>
      <c r="D34" s="114" t="s">
        <v>87</v>
      </c>
      <c r="E34" s="115"/>
      <c r="F34" s="9"/>
      <c r="H34" s="105"/>
      <c r="I34" s="7" t="s">
        <v>26</v>
      </c>
      <c r="J34" s="114" t="s">
        <v>88</v>
      </c>
      <c r="K34" s="115"/>
      <c r="N34" s="105"/>
      <c r="O34" s="7" t="s">
        <v>26</v>
      </c>
      <c r="P34" s="114" t="s">
        <v>87</v>
      </c>
      <c r="Q34" s="115"/>
      <c r="T34" s="105"/>
      <c r="U34" s="7" t="s">
        <v>26</v>
      </c>
      <c r="V34" s="114" t="s">
        <v>22</v>
      </c>
      <c r="W34" s="115"/>
      <c r="Z34" s="105"/>
      <c r="AA34" s="7" t="s">
        <v>26</v>
      </c>
      <c r="AB34" s="114" t="s">
        <v>22</v>
      </c>
      <c r="AC34" s="115"/>
    </row>
    <row r="35" spans="2:36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  <c r="AF35" s="21"/>
    </row>
    <row r="36" spans="2:36" x14ac:dyDescent="0.25">
      <c r="B36" s="110"/>
      <c r="C36" s="119" t="s">
        <v>121</v>
      </c>
      <c r="D36" s="120"/>
      <c r="E36" s="120"/>
      <c r="F36" s="121"/>
      <c r="H36" s="110"/>
      <c r="I36" s="119" t="s">
        <v>122</v>
      </c>
      <c r="J36" s="120"/>
      <c r="K36" s="120"/>
      <c r="L36" s="121"/>
      <c r="N36" s="110"/>
      <c r="O36" s="119" t="s">
        <v>123</v>
      </c>
      <c r="P36" s="120"/>
      <c r="Q36" s="120"/>
      <c r="R36" s="121"/>
      <c r="T36" s="110"/>
      <c r="U36" s="119" t="s">
        <v>43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  <c r="AF36" s="22"/>
    </row>
    <row r="37" spans="2:36" x14ac:dyDescent="0.25">
      <c r="B37" s="110"/>
      <c r="C37" s="122" t="s">
        <v>43</v>
      </c>
      <c r="D37" s="123"/>
      <c r="E37" s="123"/>
      <c r="F37" s="124"/>
      <c r="H37" s="110"/>
      <c r="I37" s="122" t="s">
        <v>43</v>
      </c>
      <c r="J37" s="123"/>
      <c r="K37" s="123"/>
      <c r="L37" s="124"/>
      <c r="N37" s="110"/>
      <c r="O37" s="122" t="s">
        <v>43</v>
      </c>
      <c r="P37" s="123"/>
      <c r="Q37" s="123"/>
      <c r="R37" s="124"/>
      <c r="T37" s="110"/>
      <c r="U37" s="122" t="s">
        <v>43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  <c r="AF37" s="22"/>
    </row>
    <row r="38" spans="2:36" x14ac:dyDescent="0.25">
      <c r="B38" s="110"/>
      <c r="C38" s="122" t="s">
        <v>43</v>
      </c>
      <c r="D38" s="123"/>
      <c r="E38" s="123"/>
      <c r="F38" s="124"/>
      <c r="H38" s="110"/>
      <c r="I38" s="122" t="s">
        <v>43</v>
      </c>
      <c r="J38" s="123"/>
      <c r="K38" s="123"/>
      <c r="L38" s="124"/>
      <c r="N38" s="110"/>
      <c r="O38" s="122" t="s">
        <v>43</v>
      </c>
      <c r="P38" s="123"/>
      <c r="Q38" s="123"/>
      <c r="R38" s="124"/>
      <c r="T38" s="110"/>
      <c r="U38" s="122" t="s">
        <v>43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  <c r="AF38" s="22"/>
    </row>
    <row r="39" spans="2:36" ht="15.75" thickBot="1" x14ac:dyDescent="0.3">
      <c r="B39" s="111"/>
      <c r="C39" s="125" t="s">
        <v>43</v>
      </c>
      <c r="D39" s="126"/>
      <c r="E39" s="126"/>
      <c r="F39" s="127"/>
      <c r="H39" s="111"/>
      <c r="I39" s="125" t="s">
        <v>43</v>
      </c>
      <c r="J39" s="126"/>
      <c r="K39" s="126"/>
      <c r="L39" s="127"/>
      <c r="N39" s="111"/>
      <c r="O39" s="125" t="s">
        <v>43</v>
      </c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  <c r="AF39" s="22"/>
    </row>
    <row r="40" spans="2:36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G40" s="18"/>
      <c r="AJ40" s="60"/>
    </row>
    <row r="41" spans="2:36" s="9" customFormat="1" x14ac:dyDescent="0.25">
      <c r="B41" s="10"/>
      <c r="C41" s="13" t="s">
        <v>44</v>
      </c>
      <c r="D41" s="130" t="s">
        <v>91</v>
      </c>
      <c r="E41" s="131"/>
      <c r="F41" s="132"/>
      <c r="H41" s="10"/>
      <c r="I41" s="13" t="s">
        <v>44</v>
      </c>
      <c r="J41" s="130" t="s">
        <v>91</v>
      </c>
      <c r="K41" s="131"/>
      <c r="L41" s="132"/>
      <c r="N41" s="10"/>
      <c r="O41" s="13" t="s">
        <v>44</v>
      </c>
      <c r="P41" s="130" t="s">
        <v>91</v>
      </c>
      <c r="Q41" s="131"/>
      <c r="R41" s="132"/>
      <c r="T41" s="10"/>
      <c r="U41" s="13" t="s">
        <v>44</v>
      </c>
      <c r="V41" s="130" t="s">
        <v>47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23"/>
      <c r="AG41" s="18"/>
      <c r="AJ41" s="60"/>
    </row>
    <row r="42" spans="2:36" s="9" customFormat="1" ht="15.75" thickBot="1" x14ac:dyDescent="0.3">
      <c r="B42" s="10"/>
      <c r="C42" s="14" t="s">
        <v>45</v>
      </c>
      <c r="D42" s="128" t="s">
        <v>92</v>
      </c>
      <c r="E42" s="128"/>
      <c r="F42" s="129"/>
      <c r="H42" s="10"/>
      <c r="I42" s="14" t="s">
        <v>45</v>
      </c>
      <c r="J42" s="128" t="s">
        <v>92</v>
      </c>
      <c r="K42" s="128"/>
      <c r="L42" s="129"/>
      <c r="N42" s="10"/>
      <c r="O42" s="14" t="s">
        <v>45</v>
      </c>
      <c r="P42" s="128" t="s">
        <v>92</v>
      </c>
      <c r="Q42" s="128"/>
      <c r="R42" s="129"/>
      <c r="T42" s="10"/>
      <c r="U42" s="14" t="s">
        <v>45</v>
      </c>
      <c r="V42" s="128" t="s">
        <v>46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23"/>
      <c r="AG42" s="18"/>
      <c r="AJ42" s="60"/>
    </row>
    <row r="43" spans="2:36" s="9" customFormat="1" x14ac:dyDescent="0.25">
      <c r="B43" s="10"/>
      <c r="D43" s="11"/>
      <c r="AG43" s="18"/>
      <c r="AJ43" s="60"/>
    </row>
    <row r="44" spans="2:36" s="9" customFormat="1" x14ac:dyDescent="0.25">
      <c r="B44" s="10"/>
      <c r="D44" s="11"/>
      <c r="AG44" s="18"/>
      <c r="AJ44" s="60"/>
    </row>
    <row r="45" spans="2:36" s="9" customFormat="1" x14ac:dyDescent="0.25">
      <c r="B45" s="10"/>
      <c r="D45" s="11"/>
      <c r="AG45" s="18"/>
      <c r="AJ45" s="60"/>
    </row>
    <row r="46" spans="2:36" s="9" customFormat="1" x14ac:dyDescent="0.25">
      <c r="B46" s="10"/>
      <c r="D46" s="11"/>
      <c r="AG46" s="18"/>
      <c r="AJ46" s="60"/>
    </row>
    <row r="47" spans="2:36" s="9" customFormat="1" x14ac:dyDescent="0.25">
      <c r="B47" s="10"/>
      <c r="D47" s="11"/>
      <c r="AG47" s="18"/>
      <c r="AJ47" s="60"/>
    </row>
    <row r="48" spans="2:36" s="9" customFormat="1" x14ac:dyDescent="0.25">
      <c r="B48" s="10"/>
      <c r="D48" s="11"/>
      <c r="AG48" s="18"/>
      <c r="AJ48" s="60"/>
    </row>
    <row r="49" spans="2:36" s="9" customFormat="1" x14ac:dyDescent="0.25">
      <c r="B49" s="10"/>
      <c r="D49" s="11"/>
      <c r="AG49" s="18"/>
      <c r="AJ49" s="60"/>
    </row>
    <row r="50" spans="2:36" s="9" customFormat="1" x14ac:dyDescent="0.25">
      <c r="B50" s="10"/>
      <c r="D50" s="11"/>
      <c r="AG50" s="18"/>
      <c r="AJ50" s="60"/>
    </row>
    <row r="51" spans="2:36" s="9" customFormat="1" x14ac:dyDescent="0.25">
      <c r="B51" s="10"/>
      <c r="D51" s="11"/>
      <c r="AG51" s="18"/>
      <c r="AJ51" s="60"/>
    </row>
    <row r="52" spans="2:36" s="9" customFormat="1" x14ac:dyDescent="0.25">
      <c r="B52" s="10"/>
      <c r="D52" s="11"/>
      <c r="AG52" s="18"/>
      <c r="AJ52" s="60"/>
    </row>
    <row r="53" spans="2:36" s="9" customFormat="1" x14ac:dyDescent="0.25">
      <c r="B53" s="10"/>
      <c r="D53" s="11"/>
      <c r="AG53" s="18"/>
      <c r="AJ53" s="60"/>
    </row>
    <row r="54" spans="2:36" s="9" customFormat="1" x14ac:dyDescent="0.25">
      <c r="B54" s="10"/>
      <c r="D54" s="11"/>
      <c r="AG54" s="18"/>
      <c r="AJ54" s="60"/>
    </row>
    <row r="55" spans="2:36" s="9" customFormat="1" x14ac:dyDescent="0.25">
      <c r="B55" s="10"/>
      <c r="D55" s="11"/>
      <c r="AG55" s="18"/>
      <c r="AJ55" s="60"/>
    </row>
    <row r="56" spans="2:36" s="9" customFormat="1" x14ac:dyDescent="0.25">
      <c r="B56" s="10"/>
      <c r="D56" s="11"/>
      <c r="AG56" s="18"/>
      <c r="AJ56" s="60"/>
    </row>
    <row r="57" spans="2:36" s="9" customFormat="1" x14ac:dyDescent="0.25">
      <c r="B57" s="10"/>
      <c r="D57" s="11"/>
      <c r="AG57" s="18"/>
      <c r="AJ57" s="60"/>
    </row>
    <row r="58" spans="2:36" s="9" customFormat="1" x14ac:dyDescent="0.25">
      <c r="B58" s="10"/>
      <c r="D58" s="11"/>
      <c r="AG58" s="18"/>
      <c r="AJ58" s="60"/>
    </row>
    <row r="59" spans="2:36" s="9" customFormat="1" x14ac:dyDescent="0.25">
      <c r="B59" s="10"/>
      <c r="D59" s="11"/>
      <c r="AG59" s="18"/>
      <c r="AJ59" s="60"/>
    </row>
    <row r="60" spans="2:36" s="9" customFormat="1" x14ac:dyDescent="0.25">
      <c r="B60" s="10"/>
      <c r="D60" s="11"/>
      <c r="AG60" s="18"/>
      <c r="AJ60" s="60"/>
    </row>
    <row r="61" spans="2:36" s="9" customFormat="1" x14ac:dyDescent="0.25">
      <c r="B61" s="10"/>
      <c r="D61" s="11"/>
      <c r="AG61" s="18"/>
      <c r="AJ61" s="60"/>
    </row>
    <row r="62" spans="2:36" s="9" customFormat="1" x14ac:dyDescent="0.25">
      <c r="B62" s="10"/>
      <c r="D62" s="11"/>
      <c r="AG62" s="18"/>
      <c r="AJ62" s="60"/>
    </row>
    <row r="63" spans="2:36" s="9" customFormat="1" x14ac:dyDescent="0.25">
      <c r="B63" s="10"/>
      <c r="D63" s="11"/>
      <c r="AG63" s="18"/>
      <c r="AJ63" s="60"/>
    </row>
    <row r="64" spans="2:36" s="9" customFormat="1" x14ac:dyDescent="0.25">
      <c r="B64" s="10"/>
      <c r="D64" s="11"/>
      <c r="AG64" s="18"/>
      <c r="AJ64" s="60"/>
    </row>
    <row r="65" spans="2:36" s="9" customFormat="1" x14ac:dyDescent="0.25">
      <c r="B65" s="10"/>
      <c r="D65" s="11"/>
      <c r="AG65" s="18"/>
      <c r="AJ65" s="60"/>
    </row>
    <row r="66" spans="2:36" s="9" customFormat="1" x14ac:dyDescent="0.25">
      <c r="B66" s="10"/>
      <c r="D66" s="11"/>
      <c r="AG66" s="18"/>
      <c r="AJ66" s="60"/>
    </row>
    <row r="67" spans="2:36" s="9" customFormat="1" x14ac:dyDescent="0.25">
      <c r="B67" s="10"/>
      <c r="D67" s="11"/>
      <c r="AG67" s="18"/>
      <c r="AJ67" s="60"/>
    </row>
    <row r="68" spans="2:36" s="9" customFormat="1" x14ac:dyDescent="0.25">
      <c r="B68" s="10"/>
      <c r="D68" s="11"/>
      <c r="AG68" s="18"/>
      <c r="AJ68" s="60"/>
    </row>
    <row r="69" spans="2:36" s="9" customFormat="1" x14ac:dyDescent="0.25">
      <c r="B69" s="10"/>
      <c r="D69" s="11"/>
      <c r="AG69" s="18"/>
      <c r="AJ69" s="60"/>
    </row>
    <row r="70" spans="2:36" s="9" customFormat="1" x14ac:dyDescent="0.25">
      <c r="B70" s="10"/>
      <c r="D70" s="11"/>
      <c r="AG70" s="18"/>
      <c r="AJ70" s="60"/>
    </row>
    <row r="71" spans="2:36" s="9" customFormat="1" x14ac:dyDescent="0.25">
      <c r="B71" s="10"/>
      <c r="D71" s="11"/>
      <c r="AG71" s="18"/>
      <c r="AJ71" s="60"/>
    </row>
    <row r="72" spans="2:36" s="9" customFormat="1" x14ac:dyDescent="0.25">
      <c r="B72" s="10"/>
      <c r="D72" s="11"/>
      <c r="AG72" s="18"/>
      <c r="AJ72" s="60"/>
    </row>
    <row r="73" spans="2:36" s="9" customFormat="1" x14ac:dyDescent="0.25">
      <c r="B73" s="10"/>
      <c r="D73" s="11"/>
      <c r="AG73" s="18"/>
      <c r="AJ73" s="60"/>
    </row>
    <row r="74" spans="2:36" s="9" customFormat="1" x14ac:dyDescent="0.25">
      <c r="B74" s="10"/>
      <c r="D74" s="11"/>
      <c r="AG74" s="18"/>
      <c r="AJ74" s="60"/>
    </row>
    <row r="75" spans="2:36" s="9" customFormat="1" x14ac:dyDescent="0.25">
      <c r="B75" s="10"/>
      <c r="D75" s="11"/>
      <c r="AG75" s="18"/>
      <c r="AJ75" s="60"/>
    </row>
    <row r="76" spans="2:36" s="9" customFormat="1" x14ac:dyDescent="0.25">
      <c r="B76" s="10"/>
      <c r="D76" s="11"/>
      <c r="AG76" s="18"/>
      <c r="AJ76" s="60"/>
    </row>
    <row r="77" spans="2:36" s="9" customFormat="1" x14ac:dyDescent="0.25">
      <c r="B77" s="10"/>
      <c r="D77" s="11"/>
      <c r="AG77" s="18"/>
      <c r="AJ77" s="60"/>
    </row>
    <row r="78" spans="2:36" s="9" customFormat="1" x14ac:dyDescent="0.25">
      <c r="B78" s="10"/>
      <c r="D78" s="11"/>
      <c r="AG78" s="18"/>
      <c r="AJ78" s="60"/>
    </row>
    <row r="79" spans="2:36" s="9" customFormat="1" x14ac:dyDescent="0.25">
      <c r="B79" s="10"/>
      <c r="D79" s="11"/>
      <c r="AG79" s="18"/>
      <c r="AJ79" s="60"/>
    </row>
    <row r="80" spans="2:36" s="9" customFormat="1" x14ac:dyDescent="0.25">
      <c r="B80" s="10"/>
      <c r="D80" s="11"/>
      <c r="AG80" s="18"/>
      <c r="AJ80" s="60"/>
    </row>
    <row r="81" spans="2:36" s="9" customFormat="1" x14ac:dyDescent="0.25">
      <c r="B81" s="10"/>
      <c r="D81" s="11"/>
      <c r="AG81" s="18"/>
      <c r="AJ81" s="60"/>
    </row>
    <row r="82" spans="2:36" s="9" customFormat="1" x14ac:dyDescent="0.25">
      <c r="B82" s="10"/>
      <c r="D82" s="11"/>
      <c r="AG82" s="18"/>
      <c r="AJ82" s="60"/>
    </row>
    <row r="83" spans="2:36" s="9" customFormat="1" x14ac:dyDescent="0.25">
      <c r="B83" s="10"/>
      <c r="D83" s="11"/>
      <c r="AG83" s="18"/>
      <c r="AJ83" s="60"/>
    </row>
    <row r="84" spans="2:36" s="9" customFormat="1" x14ac:dyDescent="0.25">
      <c r="B84" s="10"/>
      <c r="D84" s="11"/>
      <c r="AG84" s="18"/>
      <c r="AJ84" s="60"/>
    </row>
    <row r="85" spans="2:36" s="9" customFormat="1" x14ac:dyDescent="0.25">
      <c r="B85" s="10"/>
      <c r="D85" s="11"/>
      <c r="AG85" s="18"/>
      <c r="AJ85" s="60"/>
    </row>
    <row r="86" spans="2:36" s="9" customFormat="1" x14ac:dyDescent="0.25">
      <c r="B86" s="10"/>
      <c r="D86" s="11"/>
      <c r="AG86" s="18"/>
      <c r="AJ86" s="60"/>
    </row>
    <row r="87" spans="2:36" s="9" customFormat="1" x14ac:dyDescent="0.25">
      <c r="B87" s="10"/>
      <c r="D87" s="11"/>
      <c r="AG87" s="18"/>
      <c r="AJ87" s="60"/>
    </row>
    <row r="88" spans="2:36" s="9" customFormat="1" x14ac:dyDescent="0.25">
      <c r="B88" s="10"/>
      <c r="D88" s="11"/>
      <c r="AG88" s="18"/>
      <c r="AJ88" s="60"/>
    </row>
    <row r="89" spans="2:36" s="9" customFormat="1" x14ac:dyDescent="0.25">
      <c r="B89" s="10"/>
      <c r="D89" s="11"/>
      <c r="AG89" s="18"/>
      <c r="AJ89" s="60"/>
    </row>
    <row r="90" spans="2:36" s="9" customFormat="1" x14ac:dyDescent="0.25">
      <c r="B90" s="10"/>
      <c r="D90" s="11"/>
      <c r="AG90" s="18"/>
      <c r="AJ90" s="60"/>
    </row>
    <row r="91" spans="2:36" s="9" customFormat="1" x14ac:dyDescent="0.25">
      <c r="B91" s="10"/>
      <c r="D91" s="11"/>
      <c r="AG91" s="18"/>
      <c r="AJ91" s="60"/>
    </row>
    <row r="92" spans="2:36" s="9" customFormat="1" x14ac:dyDescent="0.25">
      <c r="B92" s="10"/>
      <c r="D92" s="11"/>
      <c r="AG92" s="18"/>
      <c r="AJ92" s="60"/>
    </row>
    <row r="93" spans="2:36" s="9" customFormat="1" x14ac:dyDescent="0.25">
      <c r="B93" s="10"/>
      <c r="D93" s="11"/>
      <c r="AG93" s="18"/>
      <c r="AJ93" s="60"/>
    </row>
    <row r="94" spans="2:36" s="9" customFormat="1" x14ac:dyDescent="0.25">
      <c r="B94" s="10"/>
      <c r="D94" s="11"/>
      <c r="AG94" s="18"/>
      <c r="AJ94" s="60"/>
    </row>
    <row r="95" spans="2:36" s="9" customFormat="1" x14ac:dyDescent="0.25">
      <c r="B95" s="10"/>
      <c r="D95" s="11"/>
      <c r="AG95" s="18"/>
      <c r="AJ95" s="60"/>
    </row>
    <row r="96" spans="2:36" s="9" customFormat="1" x14ac:dyDescent="0.25">
      <c r="B96" s="10"/>
      <c r="D96" s="11"/>
      <c r="AG96" s="18"/>
      <c r="AJ96" s="60"/>
    </row>
    <row r="97" spans="2:36" s="9" customFormat="1" x14ac:dyDescent="0.25">
      <c r="B97" s="10"/>
      <c r="D97" s="11"/>
      <c r="AG97" s="18"/>
      <c r="AJ97" s="60"/>
    </row>
    <row r="98" spans="2:36" s="9" customFormat="1" x14ac:dyDescent="0.25">
      <c r="B98" s="10"/>
      <c r="D98" s="11"/>
      <c r="AG98" s="18"/>
      <c r="AJ98" s="60"/>
    </row>
    <row r="99" spans="2:36" s="9" customFormat="1" x14ac:dyDescent="0.25">
      <c r="B99" s="10"/>
      <c r="D99" s="11"/>
      <c r="AG99" s="18"/>
      <c r="AJ99" s="60"/>
    </row>
    <row r="100" spans="2:36" s="9" customFormat="1" x14ac:dyDescent="0.25">
      <c r="B100" s="10"/>
      <c r="D100" s="11"/>
      <c r="AG100" s="18"/>
      <c r="AJ100" s="60"/>
    </row>
    <row r="101" spans="2:36" s="9" customFormat="1" x14ac:dyDescent="0.25">
      <c r="B101" s="10"/>
      <c r="D101" s="11"/>
      <c r="AG101" s="18"/>
      <c r="AJ101" s="60"/>
    </row>
    <row r="102" spans="2:36" s="9" customFormat="1" x14ac:dyDescent="0.25">
      <c r="B102" s="10"/>
      <c r="D102" s="11"/>
      <c r="AG102" s="18"/>
      <c r="AJ102" s="60"/>
    </row>
    <row r="103" spans="2:36" s="9" customFormat="1" x14ac:dyDescent="0.25">
      <c r="B103" s="10"/>
      <c r="D103" s="11"/>
      <c r="AG103" s="18"/>
      <c r="AJ103" s="60"/>
    </row>
    <row r="104" spans="2:36" s="9" customFormat="1" x14ac:dyDescent="0.25">
      <c r="B104" s="10"/>
      <c r="D104" s="11"/>
      <c r="AG104" s="18"/>
      <c r="AJ104" s="60"/>
    </row>
    <row r="105" spans="2:36" s="9" customFormat="1" x14ac:dyDescent="0.25">
      <c r="B105" s="10"/>
      <c r="D105" s="11"/>
      <c r="AG105" s="18"/>
      <c r="AJ105" s="60"/>
    </row>
    <row r="106" spans="2:36" s="9" customFormat="1" x14ac:dyDescent="0.25">
      <c r="B106" s="10"/>
      <c r="D106" s="11"/>
      <c r="AG106" s="18"/>
      <c r="AJ106" s="60"/>
    </row>
    <row r="107" spans="2:36" s="9" customFormat="1" x14ac:dyDescent="0.25">
      <c r="B107" s="10"/>
      <c r="D107" s="11"/>
      <c r="AG107" s="18"/>
      <c r="AJ107" s="60"/>
    </row>
    <row r="108" spans="2:36" s="9" customFormat="1" x14ac:dyDescent="0.25">
      <c r="B108" s="10"/>
      <c r="D108" s="11"/>
      <c r="AG108" s="18"/>
      <c r="AJ108" s="60"/>
    </row>
    <row r="109" spans="2:36" s="9" customFormat="1" x14ac:dyDescent="0.25">
      <c r="B109" s="10"/>
      <c r="D109" s="11"/>
      <c r="AG109" s="18"/>
      <c r="AJ109" s="60"/>
    </row>
    <row r="110" spans="2:36" s="9" customFormat="1" x14ac:dyDescent="0.25">
      <c r="B110" s="10"/>
      <c r="D110" s="11"/>
      <c r="AG110" s="18"/>
      <c r="AJ110" s="60"/>
    </row>
    <row r="111" spans="2:36" s="9" customFormat="1" x14ac:dyDescent="0.25">
      <c r="B111" s="10"/>
      <c r="D111" s="11"/>
      <c r="AG111" s="18"/>
      <c r="AJ111" s="60"/>
    </row>
    <row r="112" spans="2:36" s="9" customFormat="1" x14ac:dyDescent="0.25">
      <c r="B112" s="10"/>
      <c r="D112" s="11"/>
      <c r="AG112" s="18"/>
      <c r="AJ112" s="60"/>
    </row>
    <row r="113" spans="2:36" s="9" customFormat="1" x14ac:dyDescent="0.25">
      <c r="B113" s="10"/>
      <c r="D113" s="11"/>
      <c r="AG113" s="18"/>
      <c r="AJ113" s="60"/>
    </row>
    <row r="114" spans="2:36" s="9" customFormat="1" x14ac:dyDescent="0.25">
      <c r="B114" s="10"/>
      <c r="D114" s="11"/>
      <c r="AG114" s="18"/>
      <c r="AJ114" s="60"/>
    </row>
    <row r="115" spans="2:36" s="9" customFormat="1" x14ac:dyDescent="0.25">
      <c r="B115" s="10"/>
      <c r="D115" s="11"/>
      <c r="AG115" s="18"/>
      <c r="AJ115" s="60"/>
    </row>
    <row r="116" spans="2:36" s="9" customFormat="1" x14ac:dyDescent="0.25">
      <c r="B116" s="10"/>
      <c r="D116" s="11"/>
      <c r="AG116" s="18"/>
      <c r="AJ116" s="60"/>
    </row>
    <row r="117" spans="2:36" s="9" customFormat="1" x14ac:dyDescent="0.25">
      <c r="B117" s="10"/>
      <c r="D117" s="11"/>
      <c r="AG117" s="18"/>
      <c r="AJ117" s="60"/>
    </row>
    <row r="118" spans="2:36" s="9" customFormat="1" x14ac:dyDescent="0.25">
      <c r="B118" s="10"/>
      <c r="D118" s="11"/>
      <c r="AG118" s="18"/>
      <c r="AJ118" s="60"/>
    </row>
    <row r="119" spans="2:36" s="9" customFormat="1" x14ac:dyDescent="0.25">
      <c r="B119" s="10"/>
      <c r="D119" s="11"/>
      <c r="AG119" s="18"/>
      <c r="AJ119" s="60"/>
    </row>
    <row r="120" spans="2:36" s="9" customFormat="1" x14ac:dyDescent="0.25">
      <c r="B120" s="10"/>
      <c r="D120" s="11"/>
      <c r="AG120" s="18"/>
      <c r="AJ120" s="60"/>
    </row>
    <row r="121" spans="2:36" s="9" customFormat="1" x14ac:dyDescent="0.25">
      <c r="B121" s="10"/>
      <c r="D121" s="11"/>
      <c r="AG121" s="18"/>
      <c r="AJ121" s="60"/>
    </row>
    <row r="122" spans="2:36" s="9" customFormat="1" x14ac:dyDescent="0.25">
      <c r="B122" s="10"/>
      <c r="D122" s="11"/>
      <c r="AG122" s="18"/>
      <c r="AJ122" s="60"/>
    </row>
    <row r="123" spans="2:36" s="9" customFormat="1" x14ac:dyDescent="0.25">
      <c r="B123" s="10"/>
      <c r="D123" s="11"/>
      <c r="AG123" s="18"/>
      <c r="AJ123" s="60"/>
    </row>
    <row r="124" spans="2:36" s="9" customFormat="1" x14ac:dyDescent="0.25">
      <c r="B124" s="10"/>
      <c r="D124" s="11"/>
      <c r="AG124" s="18"/>
      <c r="AJ124" s="60"/>
    </row>
    <row r="125" spans="2:36" s="9" customFormat="1" x14ac:dyDescent="0.25">
      <c r="B125" s="10"/>
      <c r="D125" s="11"/>
      <c r="AG125" s="18"/>
      <c r="AJ125" s="60"/>
    </row>
    <row r="126" spans="2:36" s="9" customFormat="1" x14ac:dyDescent="0.25">
      <c r="B126" s="10"/>
      <c r="D126" s="11"/>
      <c r="AG126" s="18"/>
      <c r="AJ126" s="60"/>
    </row>
    <row r="127" spans="2:36" s="9" customFormat="1" x14ac:dyDescent="0.25">
      <c r="B127" s="10"/>
      <c r="D127" s="11"/>
      <c r="AG127" s="18"/>
      <c r="AJ127" s="60"/>
    </row>
    <row r="128" spans="2:36" s="9" customFormat="1" x14ac:dyDescent="0.25">
      <c r="B128" s="10"/>
      <c r="D128" s="11"/>
      <c r="AG128" s="18"/>
      <c r="AJ128" s="60"/>
    </row>
    <row r="129" spans="2:36" s="9" customFormat="1" x14ac:dyDescent="0.25">
      <c r="B129" s="10"/>
      <c r="D129" s="11"/>
      <c r="AG129" s="18"/>
      <c r="AJ129" s="60"/>
    </row>
    <row r="130" spans="2:36" s="9" customFormat="1" x14ac:dyDescent="0.25">
      <c r="B130" s="10"/>
      <c r="D130" s="11"/>
      <c r="AG130" s="18"/>
      <c r="AJ130" s="60"/>
    </row>
    <row r="131" spans="2:36" s="9" customFormat="1" x14ac:dyDescent="0.25">
      <c r="B131" s="10"/>
      <c r="D131" s="11"/>
      <c r="AG131" s="18"/>
      <c r="AJ131" s="60"/>
    </row>
    <row r="132" spans="2:36" s="9" customFormat="1" x14ac:dyDescent="0.25">
      <c r="B132" s="10"/>
      <c r="D132" s="11"/>
      <c r="AG132" s="18"/>
      <c r="AJ132" s="60"/>
    </row>
    <row r="133" spans="2:36" s="9" customFormat="1" x14ac:dyDescent="0.25">
      <c r="B133" s="10"/>
      <c r="D133" s="11"/>
      <c r="AG133" s="18"/>
      <c r="AJ133" s="60"/>
    </row>
    <row r="134" spans="2:36" s="9" customFormat="1" x14ac:dyDescent="0.25">
      <c r="B134" s="10"/>
      <c r="D134" s="11"/>
      <c r="AG134" s="18"/>
      <c r="AJ134" s="60"/>
    </row>
    <row r="135" spans="2:36" s="9" customFormat="1" x14ac:dyDescent="0.25">
      <c r="B135" s="10"/>
      <c r="D135" s="11"/>
      <c r="AG135" s="18"/>
      <c r="AJ135" s="60"/>
    </row>
    <row r="136" spans="2:36" s="9" customFormat="1" x14ac:dyDescent="0.25">
      <c r="B136" s="10"/>
      <c r="D136" s="11"/>
      <c r="AG136" s="18"/>
      <c r="AJ136" s="60"/>
    </row>
    <row r="137" spans="2:36" s="9" customFormat="1" x14ac:dyDescent="0.25">
      <c r="B137" s="10"/>
      <c r="D137" s="11"/>
      <c r="AG137" s="18"/>
      <c r="AJ137" s="60"/>
    </row>
    <row r="138" spans="2:36" s="9" customFormat="1" x14ac:dyDescent="0.25">
      <c r="B138" s="10"/>
      <c r="D138" s="11"/>
      <c r="AG138" s="18"/>
      <c r="AJ138" s="60"/>
    </row>
    <row r="139" spans="2:36" s="9" customFormat="1" x14ac:dyDescent="0.25">
      <c r="B139" s="10"/>
      <c r="D139" s="11"/>
      <c r="AG139" s="18"/>
      <c r="AJ139" s="60"/>
    </row>
    <row r="140" spans="2:36" s="9" customFormat="1" x14ac:dyDescent="0.25">
      <c r="B140" s="10"/>
      <c r="D140" s="11"/>
      <c r="AG140" s="18"/>
      <c r="AJ140" s="60"/>
    </row>
    <row r="141" spans="2:36" s="9" customFormat="1" x14ac:dyDescent="0.25">
      <c r="B141" s="10"/>
      <c r="D141" s="11"/>
      <c r="AG141" s="18"/>
      <c r="AJ141" s="60"/>
    </row>
    <row r="142" spans="2:36" s="9" customFormat="1" x14ac:dyDescent="0.25">
      <c r="B142" s="10"/>
      <c r="D142" s="11"/>
      <c r="AG142" s="18"/>
      <c r="AJ142" s="60"/>
    </row>
    <row r="143" spans="2:36" s="9" customFormat="1" x14ac:dyDescent="0.25">
      <c r="B143" s="10"/>
      <c r="D143" s="11"/>
      <c r="AG143" s="18"/>
      <c r="AJ143" s="60"/>
    </row>
    <row r="144" spans="2:36" s="9" customFormat="1" x14ac:dyDescent="0.25">
      <c r="B144" s="10"/>
      <c r="D144" s="11"/>
      <c r="AG144" s="18"/>
      <c r="AJ144" s="60"/>
    </row>
    <row r="145" spans="2:36" s="9" customFormat="1" x14ac:dyDescent="0.25">
      <c r="B145" s="10"/>
      <c r="D145" s="11"/>
      <c r="AG145" s="18"/>
      <c r="AJ145" s="60"/>
    </row>
    <row r="146" spans="2:36" s="9" customFormat="1" x14ac:dyDescent="0.25">
      <c r="B146" s="10"/>
      <c r="D146" s="11"/>
      <c r="AG146" s="18"/>
      <c r="AJ146" s="60"/>
    </row>
    <row r="147" spans="2:36" s="9" customFormat="1" x14ac:dyDescent="0.25">
      <c r="B147" s="10"/>
      <c r="D147" s="11"/>
      <c r="AG147" s="18"/>
      <c r="AJ147" s="60"/>
    </row>
    <row r="148" spans="2:36" s="9" customFormat="1" x14ac:dyDescent="0.25">
      <c r="B148" s="10"/>
      <c r="D148" s="11"/>
      <c r="AG148" s="18"/>
      <c r="AJ148" s="60"/>
    </row>
    <row r="149" spans="2:36" s="9" customFormat="1" x14ac:dyDescent="0.25">
      <c r="B149" s="10"/>
      <c r="D149" s="11"/>
      <c r="AG149" s="18"/>
      <c r="AJ149" s="60"/>
    </row>
    <row r="150" spans="2:36" s="9" customFormat="1" x14ac:dyDescent="0.25">
      <c r="B150" s="10"/>
      <c r="D150" s="11"/>
      <c r="AG150" s="18"/>
      <c r="AJ150" s="60"/>
    </row>
    <row r="151" spans="2:36" s="9" customFormat="1" x14ac:dyDescent="0.25">
      <c r="B151" s="10"/>
      <c r="D151" s="11"/>
      <c r="AG151" s="18"/>
      <c r="AJ151" s="60"/>
    </row>
    <row r="152" spans="2:36" s="9" customFormat="1" x14ac:dyDescent="0.25">
      <c r="B152" s="10"/>
      <c r="D152" s="11"/>
      <c r="AG152" s="18"/>
      <c r="AJ152" s="60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I2:AJ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B41A-94CA-4FAC-A81D-6430ED9071C3}">
  <sheetPr>
    <tabColor theme="5"/>
  </sheetPr>
  <dimension ref="A1:BH152"/>
  <sheetViews>
    <sheetView tabSelected="1" zoomScaleNormal="100" workbookViewId="0">
      <selection activeCell="AK9" sqref="AK9"/>
    </sheetView>
  </sheetViews>
  <sheetFormatPr baseColWidth="10" defaultRowHeight="15" x14ac:dyDescent="0.25"/>
  <cols>
    <col min="1" max="1" width="5.140625" style="9" customWidth="1"/>
    <col min="2" max="2" width="4.140625" style="8" customWidth="1"/>
    <col min="3" max="3" width="23.28515625" customWidth="1"/>
    <col min="4" max="4" width="7.42578125" style="1" customWidth="1"/>
    <col min="5" max="6" width="11.42578125" customWidth="1"/>
    <col min="7" max="7" width="4" style="9" customWidth="1"/>
    <col min="8" max="8" width="5.140625" style="9" customWidth="1"/>
    <col min="9" max="9" width="21.85546875" style="9" customWidth="1"/>
    <col min="10" max="10" width="7.42578125" style="9" customWidth="1"/>
    <col min="11" max="12" width="11.42578125" style="9" customWidth="1"/>
    <col min="13" max="13" width="4" style="9" customWidth="1"/>
    <col min="14" max="14" width="6.5703125" style="9" customWidth="1"/>
    <col min="15" max="15" width="21.85546875" style="9" customWidth="1"/>
    <col min="16" max="16" width="7.42578125" style="9" customWidth="1"/>
    <col min="17" max="18" width="11.42578125" style="9" customWidth="1"/>
    <col min="19" max="19" width="4" style="9" customWidth="1"/>
    <col min="20" max="20" width="0" style="9" hidden="1" customWidth="1"/>
    <col min="21" max="21" width="21.85546875" style="9" hidden="1" customWidth="1"/>
    <col min="22" max="22" width="7.42578125" style="9" hidden="1" customWidth="1"/>
    <col min="23" max="24" width="11.42578125" style="9" hidden="1" customWidth="1"/>
    <col min="25" max="25" width="4.5703125" style="9" hidden="1" customWidth="1"/>
    <col min="26" max="26" width="11.42578125" style="9" hidden="1" customWidth="1"/>
    <col min="27" max="27" width="21.85546875" style="9" hidden="1" customWidth="1"/>
    <col min="28" max="30" width="11.42578125" style="9" hidden="1" customWidth="1"/>
    <col min="31" max="31" width="3.42578125" style="9" customWidth="1"/>
    <col min="32" max="32" width="0.85546875" style="18" customWidth="1"/>
    <col min="33" max="33" width="11.42578125" style="9"/>
    <col min="34" max="34" width="24" style="9" customWidth="1"/>
    <col min="35" max="35" width="11.42578125" style="60"/>
    <col min="36" max="60" width="11.42578125" style="9"/>
  </cols>
  <sheetData>
    <row r="1" spans="1:60" s="9" customFormat="1" x14ac:dyDescent="0.25">
      <c r="B1" s="10"/>
      <c r="D1" s="11"/>
      <c r="AF1" s="18"/>
      <c r="AI1" s="60"/>
    </row>
    <row r="2" spans="1:60" s="9" customFormat="1" ht="28.5" customHeight="1" thickBot="1" x14ac:dyDescent="0.3">
      <c r="B2" s="10"/>
      <c r="D2" s="11"/>
      <c r="AF2" s="18"/>
      <c r="AH2" s="86" t="s">
        <v>53</v>
      </c>
      <c r="AI2" s="86"/>
      <c r="AJ2" s="26"/>
      <c r="AK2" s="26"/>
      <c r="AL2" s="26"/>
    </row>
    <row r="3" spans="1:60" ht="22.5" customHeight="1" thickBot="1" x14ac:dyDescent="0.3">
      <c r="C3" s="87" t="s">
        <v>59</v>
      </c>
      <c r="D3" s="88"/>
      <c r="E3" s="88"/>
      <c r="F3" s="89"/>
      <c r="H3" s="8"/>
      <c r="I3" s="87" t="s">
        <v>372</v>
      </c>
      <c r="J3" s="88"/>
      <c r="K3" s="88"/>
      <c r="L3" s="89"/>
      <c r="N3" s="8"/>
      <c r="O3" s="87" t="s">
        <v>373</v>
      </c>
      <c r="P3" s="88"/>
      <c r="Q3" s="88"/>
      <c r="R3" s="89"/>
      <c r="T3" s="8"/>
      <c r="U3" s="87" t="s">
        <v>48</v>
      </c>
      <c r="V3" s="88"/>
      <c r="W3" s="88"/>
      <c r="X3" s="89"/>
      <c r="Y3" s="20"/>
      <c r="Z3" s="8"/>
      <c r="AA3" s="87" t="s">
        <v>48</v>
      </c>
      <c r="AB3" s="88"/>
      <c r="AC3" s="88"/>
      <c r="AD3" s="89"/>
      <c r="AE3" s="20"/>
      <c r="AH3" s="24"/>
      <c r="AI3" s="26"/>
      <c r="AJ3" s="24"/>
      <c r="AK3" s="24"/>
      <c r="AL3" s="24"/>
    </row>
    <row r="4" spans="1:60" s="32" customFormat="1" ht="15.75" customHeight="1" thickBot="1" x14ac:dyDescent="0.3">
      <c r="A4" s="29"/>
      <c r="B4" s="91" t="s">
        <v>9</v>
      </c>
      <c r="C4" s="27" t="s">
        <v>1</v>
      </c>
      <c r="D4" s="12">
        <f>D6+D7+D8+D9+D10+D11</f>
        <v>0</v>
      </c>
      <c r="E4" s="94"/>
      <c r="F4" s="95"/>
      <c r="G4" s="29"/>
      <c r="H4" s="91" t="s">
        <v>9</v>
      </c>
      <c r="I4" s="27" t="s">
        <v>1</v>
      </c>
      <c r="J4" s="12">
        <f>J6+J7+J8+J9+J10+J11</f>
        <v>0</v>
      </c>
      <c r="K4" s="94"/>
      <c r="L4" s="95"/>
      <c r="M4" s="29"/>
      <c r="N4" s="91" t="s">
        <v>9</v>
      </c>
      <c r="O4" s="27" t="s">
        <v>1</v>
      </c>
      <c r="P4" s="12">
        <f>P6+P7+P8+P9+P10+P11</f>
        <v>0</v>
      </c>
      <c r="Q4" s="94"/>
      <c r="R4" s="95"/>
      <c r="S4" s="29"/>
      <c r="T4" s="91" t="s">
        <v>9</v>
      </c>
      <c r="U4" s="27" t="s">
        <v>1</v>
      </c>
      <c r="V4" s="12">
        <f>V6+V7+V8+V9+V10+V11</f>
        <v>0</v>
      </c>
      <c r="W4" s="94"/>
      <c r="X4" s="95"/>
      <c r="Y4" s="30"/>
      <c r="Z4" s="91" t="s">
        <v>9</v>
      </c>
      <c r="AA4" s="27" t="s">
        <v>1</v>
      </c>
      <c r="AB4" s="12">
        <f>AB6+AB7+AB8+AB9+AB10+AB11</f>
        <v>0</v>
      </c>
      <c r="AC4" s="94"/>
      <c r="AD4" s="95"/>
      <c r="AE4" s="30"/>
      <c r="AF4" s="31"/>
      <c r="AG4" s="29"/>
      <c r="AH4" s="28" t="s">
        <v>1</v>
      </c>
      <c r="AI4" s="25">
        <f>J4+P4+V4</f>
        <v>0</v>
      </c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</row>
    <row r="5" spans="1:60" ht="15.75" customHeight="1" x14ac:dyDescent="0.25">
      <c r="B5" s="92"/>
      <c r="C5" s="6" t="s">
        <v>0</v>
      </c>
      <c r="D5" s="16">
        <v>0</v>
      </c>
      <c r="E5" s="96"/>
      <c r="F5" s="97"/>
      <c r="H5" s="92"/>
      <c r="I5" s="6" t="s">
        <v>0</v>
      </c>
      <c r="J5" s="16">
        <v>0</v>
      </c>
      <c r="K5" s="96"/>
      <c r="L5" s="97"/>
      <c r="N5" s="92"/>
      <c r="O5" s="6" t="s">
        <v>0</v>
      </c>
      <c r="P5" s="16">
        <v>0</v>
      </c>
      <c r="Q5" s="96"/>
      <c r="R5" s="97"/>
      <c r="T5" s="92"/>
      <c r="U5" s="6" t="s">
        <v>0</v>
      </c>
      <c r="V5" s="16">
        <v>0</v>
      </c>
      <c r="W5" s="96"/>
      <c r="X5" s="97"/>
      <c r="Y5" s="17"/>
      <c r="Z5" s="92"/>
      <c r="AA5" s="6" t="s">
        <v>0</v>
      </c>
      <c r="AB5" s="16">
        <v>0</v>
      </c>
      <c r="AC5" s="96"/>
      <c r="AD5" s="97"/>
      <c r="AE5" s="17"/>
      <c r="AH5" s="6" t="s">
        <v>0</v>
      </c>
      <c r="AI5" s="16">
        <f>J5+P5+V5</f>
        <v>0</v>
      </c>
    </row>
    <row r="6" spans="1:60" ht="15.75" customHeight="1" x14ac:dyDescent="0.25">
      <c r="B6" s="92"/>
      <c r="C6" s="2" t="s">
        <v>2</v>
      </c>
      <c r="D6" s="4">
        <v>0</v>
      </c>
      <c r="E6" s="96"/>
      <c r="F6" s="97"/>
      <c r="H6" s="92"/>
      <c r="I6" s="2" t="s">
        <v>2</v>
      </c>
      <c r="J6" s="4">
        <v>0</v>
      </c>
      <c r="K6" s="96"/>
      <c r="L6" s="97"/>
      <c r="N6" s="92"/>
      <c r="O6" s="2" t="s">
        <v>2</v>
      </c>
      <c r="P6" s="4">
        <v>0</v>
      </c>
      <c r="Q6" s="96"/>
      <c r="R6" s="97"/>
      <c r="T6" s="92"/>
      <c r="U6" s="2" t="s">
        <v>2</v>
      </c>
      <c r="V6" s="4">
        <v>0</v>
      </c>
      <c r="W6" s="96"/>
      <c r="X6" s="97"/>
      <c r="Y6" s="17"/>
      <c r="Z6" s="92"/>
      <c r="AA6" s="2" t="s">
        <v>2</v>
      </c>
      <c r="AB6" s="4">
        <v>0</v>
      </c>
      <c r="AC6" s="96"/>
      <c r="AD6" s="97"/>
      <c r="AE6" s="17"/>
      <c r="AH6" s="2" t="s">
        <v>2</v>
      </c>
      <c r="AI6" s="4">
        <f t="shared" ref="AI6:AI15" si="0">+J6+P6+V6</f>
        <v>0</v>
      </c>
    </row>
    <row r="7" spans="1:60" x14ac:dyDescent="0.25">
      <c r="B7" s="92"/>
      <c r="C7" s="2" t="s">
        <v>3</v>
      </c>
      <c r="D7" s="4">
        <v>0</v>
      </c>
      <c r="E7" s="96"/>
      <c r="F7" s="97"/>
      <c r="H7" s="92"/>
      <c r="I7" s="2" t="s">
        <v>3</v>
      </c>
      <c r="J7" s="4">
        <v>0</v>
      </c>
      <c r="K7" s="96"/>
      <c r="L7" s="97"/>
      <c r="N7" s="92"/>
      <c r="O7" s="2" t="s">
        <v>3</v>
      </c>
      <c r="P7" s="4">
        <v>0</v>
      </c>
      <c r="Q7" s="96"/>
      <c r="R7" s="97"/>
      <c r="T7" s="92"/>
      <c r="U7" s="2" t="s">
        <v>3</v>
      </c>
      <c r="V7" s="4">
        <v>0</v>
      </c>
      <c r="W7" s="96"/>
      <c r="X7" s="97"/>
      <c r="Y7" s="17"/>
      <c r="Z7" s="92"/>
      <c r="AA7" s="2" t="s">
        <v>3</v>
      </c>
      <c r="AB7" s="4">
        <v>0</v>
      </c>
      <c r="AC7" s="96"/>
      <c r="AD7" s="97"/>
      <c r="AE7" s="17"/>
      <c r="AH7" s="2" t="s">
        <v>3</v>
      </c>
      <c r="AI7" s="4">
        <f t="shared" si="0"/>
        <v>0</v>
      </c>
    </row>
    <row r="8" spans="1:60" x14ac:dyDescent="0.25">
      <c r="B8" s="92"/>
      <c r="C8" s="2" t="s">
        <v>4</v>
      </c>
      <c r="D8" s="4">
        <v>0</v>
      </c>
      <c r="E8" s="96"/>
      <c r="F8" s="97"/>
      <c r="H8" s="92"/>
      <c r="I8" s="2" t="s">
        <v>4</v>
      </c>
      <c r="J8" s="4">
        <v>0</v>
      </c>
      <c r="K8" s="96"/>
      <c r="L8" s="97"/>
      <c r="N8" s="92"/>
      <c r="O8" s="2" t="s">
        <v>4</v>
      </c>
      <c r="P8" s="4">
        <v>0</v>
      </c>
      <c r="Q8" s="96"/>
      <c r="R8" s="97"/>
      <c r="T8" s="92"/>
      <c r="U8" s="2" t="s">
        <v>4</v>
      </c>
      <c r="V8" s="4">
        <v>0</v>
      </c>
      <c r="W8" s="96"/>
      <c r="X8" s="97"/>
      <c r="Y8" s="17"/>
      <c r="Z8" s="92"/>
      <c r="AA8" s="2" t="s">
        <v>4</v>
      </c>
      <c r="AB8" s="4">
        <v>0</v>
      </c>
      <c r="AC8" s="96"/>
      <c r="AD8" s="97"/>
      <c r="AE8" s="17"/>
      <c r="AH8" s="2" t="s">
        <v>4</v>
      </c>
      <c r="AI8" s="4">
        <f t="shared" si="0"/>
        <v>0</v>
      </c>
    </row>
    <row r="9" spans="1:60" x14ac:dyDescent="0.25">
      <c r="B9" s="92"/>
      <c r="C9" s="2" t="s">
        <v>5</v>
      </c>
      <c r="D9" s="4">
        <v>0</v>
      </c>
      <c r="E9" s="96"/>
      <c r="F9" s="97"/>
      <c r="H9" s="92"/>
      <c r="I9" s="2" t="s">
        <v>5</v>
      </c>
      <c r="J9" s="4">
        <v>0</v>
      </c>
      <c r="K9" s="96"/>
      <c r="L9" s="97"/>
      <c r="N9" s="92"/>
      <c r="O9" s="2" t="s">
        <v>5</v>
      </c>
      <c r="P9" s="4">
        <v>0</v>
      </c>
      <c r="Q9" s="96"/>
      <c r="R9" s="97"/>
      <c r="T9" s="92"/>
      <c r="U9" s="2" t="s">
        <v>5</v>
      </c>
      <c r="V9" s="4">
        <v>0</v>
      </c>
      <c r="W9" s="96"/>
      <c r="X9" s="97"/>
      <c r="Y9" s="17"/>
      <c r="Z9" s="92"/>
      <c r="AA9" s="2" t="s">
        <v>5</v>
      </c>
      <c r="AB9" s="4">
        <v>0</v>
      </c>
      <c r="AC9" s="96"/>
      <c r="AD9" s="97"/>
      <c r="AE9" s="17"/>
      <c r="AH9" s="2" t="s">
        <v>5</v>
      </c>
      <c r="AI9" s="4">
        <f t="shared" si="0"/>
        <v>0</v>
      </c>
    </row>
    <row r="10" spans="1:60" ht="15.75" thickBot="1" x14ac:dyDescent="0.3">
      <c r="B10" s="92"/>
      <c r="C10" s="7" t="s">
        <v>6</v>
      </c>
      <c r="D10" s="15">
        <v>0</v>
      </c>
      <c r="E10" s="96"/>
      <c r="F10" s="97"/>
      <c r="H10" s="92"/>
      <c r="I10" s="7" t="s">
        <v>6</v>
      </c>
      <c r="J10" s="15">
        <v>0</v>
      </c>
      <c r="K10" s="96"/>
      <c r="L10" s="97"/>
      <c r="N10" s="92"/>
      <c r="O10" s="7" t="s">
        <v>6</v>
      </c>
      <c r="P10" s="15">
        <v>0</v>
      </c>
      <c r="Q10" s="96"/>
      <c r="R10" s="97"/>
      <c r="T10" s="92"/>
      <c r="U10" s="7" t="s">
        <v>6</v>
      </c>
      <c r="V10" s="15">
        <v>0</v>
      </c>
      <c r="W10" s="96"/>
      <c r="X10" s="97"/>
      <c r="Y10" s="17"/>
      <c r="Z10" s="92"/>
      <c r="AA10" s="7" t="s">
        <v>6</v>
      </c>
      <c r="AB10" s="15">
        <v>0</v>
      </c>
      <c r="AC10" s="96"/>
      <c r="AD10" s="97"/>
      <c r="AE10" s="17"/>
      <c r="AH10" s="7" t="s">
        <v>6</v>
      </c>
      <c r="AI10" s="15">
        <f t="shared" si="0"/>
        <v>0</v>
      </c>
    </row>
    <row r="11" spans="1:60" ht="15.75" thickBot="1" x14ac:dyDescent="0.3">
      <c r="B11" s="92"/>
      <c r="C11" s="2" t="s">
        <v>7</v>
      </c>
      <c r="D11" s="4">
        <v>0</v>
      </c>
      <c r="E11" s="98" t="s">
        <v>33</v>
      </c>
      <c r="F11" s="99"/>
      <c r="H11" s="92"/>
      <c r="I11" s="2" t="s">
        <v>7</v>
      </c>
      <c r="J11" s="4">
        <v>0</v>
      </c>
      <c r="K11" s="98" t="s">
        <v>33</v>
      </c>
      <c r="L11" s="99"/>
      <c r="N11" s="92"/>
      <c r="O11" s="2" t="s">
        <v>7</v>
      </c>
      <c r="P11" s="4">
        <v>0</v>
      </c>
      <c r="Q11" s="98" t="s">
        <v>33</v>
      </c>
      <c r="R11" s="99"/>
      <c r="T11" s="92"/>
      <c r="U11" s="2" t="s">
        <v>7</v>
      </c>
      <c r="V11" s="4">
        <v>0</v>
      </c>
      <c r="W11" s="98" t="s">
        <v>33</v>
      </c>
      <c r="X11" s="99"/>
      <c r="Y11" s="19"/>
      <c r="Z11" s="92"/>
      <c r="AA11" s="2" t="s">
        <v>7</v>
      </c>
      <c r="AB11" s="4">
        <v>0</v>
      </c>
      <c r="AC11" s="98" t="s">
        <v>33</v>
      </c>
      <c r="AD11" s="99"/>
      <c r="AE11" s="19"/>
      <c r="AH11" s="2" t="s">
        <v>7</v>
      </c>
      <c r="AI11" s="4">
        <f t="shared" si="0"/>
        <v>0</v>
      </c>
    </row>
    <row r="12" spans="1:60" x14ac:dyDescent="0.25">
      <c r="B12" s="92"/>
      <c r="C12" s="2" t="s">
        <v>49</v>
      </c>
      <c r="D12" s="4">
        <v>0</v>
      </c>
      <c r="E12" s="17"/>
      <c r="F12" s="17"/>
      <c r="H12" s="92"/>
      <c r="I12" s="2" t="s">
        <v>49</v>
      </c>
      <c r="J12" s="4">
        <v>0</v>
      </c>
      <c r="K12" s="17"/>
      <c r="L12" s="17"/>
      <c r="N12" s="92"/>
      <c r="O12" s="2" t="s">
        <v>49</v>
      </c>
      <c r="P12" s="4">
        <v>0</v>
      </c>
      <c r="Q12" s="17"/>
      <c r="R12" s="17"/>
      <c r="T12" s="92"/>
      <c r="U12" s="2" t="s">
        <v>49</v>
      </c>
      <c r="V12" s="4">
        <v>0</v>
      </c>
      <c r="W12" s="17"/>
      <c r="X12" s="17"/>
      <c r="Y12" s="17"/>
      <c r="Z12" s="92"/>
      <c r="AA12" s="2" t="s">
        <v>49</v>
      </c>
      <c r="AB12" s="4">
        <v>0</v>
      </c>
      <c r="AC12" s="17"/>
      <c r="AD12" s="17"/>
      <c r="AE12" s="17"/>
      <c r="AH12" s="2" t="s">
        <v>49</v>
      </c>
      <c r="AI12" s="4">
        <f t="shared" si="0"/>
        <v>0</v>
      </c>
    </row>
    <row r="13" spans="1:60" x14ac:dyDescent="0.25">
      <c r="B13" s="92"/>
      <c r="C13" s="2" t="s">
        <v>50</v>
      </c>
      <c r="D13" s="4">
        <v>0</v>
      </c>
      <c r="E13" s="17"/>
      <c r="F13" s="17"/>
      <c r="H13" s="92"/>
      <c r="I13" s="2" t="s">
        <v>50</v>
      </c>
      <c r="J13" s="4">
        <v>0</v>
      </c>
      <c r="K13" s="17"/>
      <c r="L13" s="17"/>
      <c r="N13" s="92"/>
      <c r="O13" s="2" t="s">
        <v>50</v>
      </c>
      <c r="P13" s="4">
        <v>0</v>
      </c>
      <c r="Q13" s="17"/>
      <c r="R13" s="17"/>
      <c r="T13" s="92"/>
      <c r="U13" s="2" t="s">
        <v>50</v>
      </c>
      <c r="V13" s="4">
        <v>0</v>
      </c>
      <c r="W13" s="17"/>
      <c r="X13" s="17"/>
      <c r="Y13" s="17"/>
      <c r="Z13" s="92"/>
      <c r="AA13" s="2" t="s">
        <v>50</v>
      </c>
      <c r="AB13" s="4">
        <v>0</v>
      </c>
      <c r="AC13" s="17"/>
      <c r="AD13" s="17"/>
      <c r="AE13" s="17"/>
      <c r="AH13" s="2" t="s">
        <v>50</v>
      </c>
      <c r="AI13" s="4">
        <f t="shared" si="0"/>
        <v>0</v>
      </c>
    </row>
    <row r="14" spans="1:60" x14ac:dyDescent="0.25">
      <c r="B14" s="92"/>
      <c r="C14" s="2" t="s">
        <v>51</v>
      </c>
      <c r="D14" s="4">
        <v>0</v>
      </c>
      <c r="E14" s="17"/>
      <c r="H14" s="92"/>
      <c r="I14" s="2" t="s">
        <v>51</v>
      </c>
      <c r="J14" s="4">
        <v>0</v>
      </c>
      <c r="K14" s="17"/>
      <c r="L14" s="17"/>
      <c r="N14" s="92"/>
      <c r="O14" s="2" t="s">
        <v>51</v>
      </c>
      <c r="P14" s="4">
        <v>0</v>
      </c>
      <c r="Q14" s="17"/>
      <c r="R14" s="17"/>
      <c r="T14" s="92"/>
      <c r="U14" s="2" t="s">
        <v>51</v>
      </c>
      <c r="V14" s="4">
        <v>0</v>
      </c>
      <c r="W14" s="17"/>
      <c r="X14" s="17"/>
      <c r="Y14" s="17"/>
      <c r="Z14" s="92"/>
      <c r="AA14" s="2" t="s">
        <v>51</v>
      </c>
      <c r="AB14" s="4">
        <v>0</v>
      </c>
      <c r="AC14" s="17"/>
      <c r="AD14" s="17"/>
      <c r="AE14" s="17"/>
      <c r="AH14" s="2" t="s">
        <v>51</v>
      </c>
      <c r="AI14" s="4">
        <f t="shared" si="0"/>
        <v>0</v>
      </c>
    </row>
    <row r="15" spans="1:60" ht="15.75" thickBot="1" x14ac:dyDescent="0.3">
      <c r="B15" s="93"/>
      <c r="C15" s="3" t="s">
        <v>52</v>
      </c>
      <c r="D15" s="5">
        <v>0</v>
      </c>
      <c r="E15" s="90"/>
      <c r="F15" s="90"/>
      <c r="H15" s="93"/>
      <c r="I15" s="3" t="s">
        <v>52</v>
      </c>
      <c r="J15" s="5">
        <v>0</v>
      </c>
      <c r="K15" s="90"/>
      <c r="L15" s="90"/>
      <c r="N15" s="93"/>
      <c r="O15" s="3" t="s">
        <v>52</v>
      </c>
      <c r="P15" s="5">
        <v>0</v>
      </c>
      <c r="Q15" s="90"/>
      <c r="R15" s="90"/>
      <c r="T15" s="93"/>
      <c r="U15" s="3" t="s">
        <v>52</v>
      </c>
      <c r="V15" s="5">
        <v>0</v>
      </c>
      <c r="W15" s="90"/>
      <c r="X15" s="90"/>
      <c r="Y15" s="19"/>
      <c r="Z15" s="93"/>
      <c r="AA15" s="3" t="s">
        <v>52</v>
      </c>
      <c r="AB15" s="5">
        <v>0</v>
      </c>
      <c r="AC15" s="90"/>
      <c r="AD15" s="90"/>
      <c r="AE15" s="19"/>
      <c r="AH15" s="3" t="s">
        <v>52</v>
      </c>
      <c r="AI15" s="5">
        <f t="shared" si="0"/>
        <v>0</v>
      </c>
    </row>
    <row r="16" spans="1:60" s="9" customFormat="1" ht="15.75" thickBot="1" x14ac:dyDescent="0.3">
      <c r="B16" s="10"/>
      <c r="D16" s="11"/>
      <c r="H16" s="10"/>
      <c r="J16" s="11"/>
      <c r="N16" s="10"/>
      <c r="P16" s="11"/>
      <c r="T16" s="10"/>
      <c r="V16" s="11"/>
      <c r="Z16" s="10"/>
      <c r="AB16" s="11"/>
      <c r="AF16" s="18"/>
      <c r="AI16" s="60"/>
    </row>
    <row r="17" spans="2:35" x14ac:dyDescent="0.25">
      <c r="B17" s="104" t="s">
        <v>28</v>
      </c>
      <c r="C17" s="6" t="s">
        <v>10</v>
      </c>
      <c r="D17" s="107" t="s">
        <v>34</v>
      </c>
      <c r="E17" s="108"/>
      <c r="F17" s="9"/>
      <c r="H17" s="104" t="s">
        <v>28</v>
      </c>
      <c r="I17" s="6" t="s">
        <v>10</v>
      </c>
      <c r="J17" s="107" t="s">
        <v>34</v>
      </c>
      <c r="K17" s="108"/>
      <c r="N17" s="104" t="s">
        <v>28</v>
      </c>
      <c r="O17" s="6" t="s">
        <v>10</v>
      </c>
      <c r="P17" s="107" t="s">
        <v>34</v>
      </c>
      <c r="Q17" s="108"/>
      <c r="T17" s="104" t="s">
        <v>28</v>
      </c>
      <c r="U17" s="6" t="s">
        <v>10</v>
      </c>
      <c r="V17" s="107" t="s">
        <v>34</v>
      </c>
      <c r="W17" s="108"/>
      <c r="Z17" s="104" t="s">
        <v>28</v>
      </c>
      <c r="AA17" s="6" t="s">
        <v>10</v>
      </c>
      <c r="AB17" s="107" t="s">
        <v>34</v>
      </c>
      <c r="AC17" s="108"/>
    </row>
    <row r="18" spans="2:35" ht="15.75" thickBot="1" x14ac:dyDescent="0.3">
      <c r="B18" s="105"/>
      <c r="C18" s="2" t="s">
        <v>11</v>
      </c>
      <c r="D18" s="100" t="s">
        <v>35</v>
      </c>
      <c r="E18" s="101"/>
      <c r="F18" s="9"/>
      <c r="H18" s="105"/>
      <c r="I18" s="2" t="s">
        <v>11</v>
      </c>
      <c r="J18" s="100" t="s">
        <v>35</v>
      </c>
      <c r="K18" s="101"/>
      <c r="N18" s="105"/>
      <c r="O18" s="2" t="s">
        <v>11</v>
      </c>
      <c r="P18" s="100" t="s">
        <v>35</v>
      </c>
      <c r="Q18" s="101"/>
      <c r="T18" s="105"/>
      <c r="U18" s="2" t="s">
        <v>11</v>
      </c>
      <c r="V18" s="100" t="s">
        <v>35</v>
      </c>
      <c r="W18" s="101"/>
      <c r="Z18" s="105"/>
      <c r="AA18" s="2" t="s">
        <v>11</v>
      </c>
      <c r="AB18" s="100" t="s">
        <v>35</v>
      </c>
      <c r="AC18" s="101"/>
    </row>
    <row r="19" spans="2:35" ht="15.75" thickBot="1" x14ac:dyDescent="0.3">
      <c r="B19" s="105"/>
      <c r="C19" s="2" t="s">
        <v>12</v>
      </c>
      <c r="D19" s="100" t="s">
        <v>60</v>
      </c>
      <c r="E19" s="101"/>
      <c r="F19" s="9"/>
      <c r="H19" s="105"/>
      <c r="I19" s="2" t="s">
        <v>12</v>
      </c>
      <c r="J19" s="100" t="s">
        <v>374</v>
      </c>
      <c r="K19" s="101"/>
      <c r="N19" s="105"/>
      <c r="O19" s="2" t="s">
        <v>12</v>
      </c>
      <c r="P19" s="100" t="s">
        <v>375</v>
      </c>
      <c r="Q19" s="101"/>
      <c r="T19" s="105"/>
      <c r="U19" s="2" t="s">
        <v>12</v>
      </c>
      <c r="V19" s="100" t="s">
        <v>36</v>
      </c>
      <c r="W19" s="101"/>
      <c r="Z19" s="105"/>
      <c r="AA19" s="2" t="s">
        <v>12</v>
      </c>
      <c r="AB19" s="100" t="s">
        <v>36</v>
      </c>
      <c r="AC19" s="101"/>
      <c r="AH19" s="51" t="s">
        <v>54</v>
      </c>
      <c r="AI19" s="52">
        <f>+AI20+AI21</f>
        <v>3</v>
      </c>
    </row>
    <row r="20" spans="2:35" ht="15.75" thickBot="1" x14ac:dyDescent="0.3">
      <c r="B20" s="106"/>
      <c r="C20" s="3" t="s">
        <v>13</v>
      </c>
      <c r="D20" s="102" t="s">
        <v>61</v>
      </c>
      <c r="E20" s="103"/>
      <c r="F20" s="9"/>
      <c r="H20" s="106"/>
      <c r="I20" s="3" t="s">
        <v>13</v>
      </c>
      <c r="J20" s="102" t="s">
        <v>376</v>
      </c>
      <c r="K20" s="103"/>
      <c r="N20" s="106"/>
      <c r="O20" s="3" t="s">
        <v>13</v>
      </c>
      <c r="P20" s="102" t="s">
        <v>377</v>
      </c>
      <c r="Q20" s="103"/>
      <c r="T20" s="106"/>
      <c r="U20" s="3" t="s">
        <v>13</v>
      </c>
      <c r="V20" s="102" t="s">
        <v>36</v>
      </c>
      <c r="W20" s="103"/>
      <c r="Z20" s="106"/>
      <c r="AA20" s="3" t="s">
        <v>13</v>
      </c>
      <c r="AB20" s="102" t="s">
        <v>36</v>
      </c>
      <c r="AC20" s="103"/>
      <c r="AH20" s="49" t="s">
        <v>55</v>
      </c>
      <c r="AI20" s="61">
        <v>0</v>
      </c>
    </row>
    <row r="21" spans="2:35" ht="15.75" thickBot="1" x14ac:dyDescent="0.3">
      <c r="B21" s="109" t="s">
        <v>29</v>
      </c>
      <c r="C21" s="6" t="s">
        <v>14</v>
      </c>
      <c r="D21" s="107" t="s">
        <v>62</v>
      </c>
      <c r="E21" s="108"/>
      <c r="F21" s="9"/>
      <c r="H21" s="109" t="s">
        <v>29</v>
      </c>
      <c r="I21" s="6" t="s">
        <v>14</v>
      </c>
      <c r="J21" s="107" t="s">
        <v>378</v>
      </c>
      <c r="K21" s="108"/>
      <c r="N21" s="109" t="s">
        <v>29</v>
      </c>
      <c r="O21" s="6" t="s">
        <v>14</v>
      </c>
      <c r="P21" s="107" t="s">
        <v>379</v>
      </c>
      <c r="Q21" s="108"/>
      <c r="T21" s="109" t="s">
        <v>29</v>
      </c>
      <c r="U21" s="6" t="s">
        <v>14</v>
      </c>
      <c r="V21" s="107" t="s">
        <v>37</v>
      </c>
      <c r="W21" s="108"/>
      <c r="Z21" s="109" t="s">
        <v>29</v>
      </c>
      <c r="AA21" s="6" t="s">
        <v>14</v>
      </c>
      <c r="AB21" s="107" t="s">
        <v>37</v>
      </c>
      <c r="AC21" s="108"/>
      <c r="AH21" s="47" t="s">
        <v>56</v>
      </c>
      <c r="AI21" s="62">
        <v>3</v>
      </c>
    </row>
    <row r="22" spans="2:35" x14ac:dyDescent="0.25">
      <c r="B22" s="110"/>
      <c r="C22" s="2" t="s">
        <v>15</v>
      </c>
      <c r="D22" s="100"/>
      <c r="E22" s="101"/>
      <c r="F22" s="9"/>
      <c r="H22" s="110"/>
      <c r="I22" s="2" t="s">
        <v>15</v>
      </c>
      <c r="J22" s="100"/>
      <c r="K22" s="101"/>
      <c r="N22" s="110"/>
      <c r="O22" s="2" t="s">
        <v>15</v>
      </c>
      <c r="P22" s="100"/>
      <c r="Q22" s="101"/>
      <c r="T22" s="110"/>
      <c r="U22" s="2" t="s">
        <v>15</v>
      </c>
      <c r="V22" s="100" t="s">
        <v>38</v>
      </c>
      <c r="W22" s="101"/>
      <c r="Z22" s="110"/>
      <c r="AA22" s="2" t="s">
        <v>15</v>
      </c>
      <c r="AB22" s="100" t="s">
        <v>38</v>
      </c>
      <c r="AC22" s="101"/>
    </row>
    <row r="23" spans="2:35" x14ac:dyDescent="0.25">
      <c r="B23" s="110"/>
      <c r="C23" s="2" t="s">
        <v>16</v>
      </c>
      <c r="D23" s="100" t="s">
        <v>63</v>
      </c>
      <c r="E23" s="101"/>
      <c r="F23" s="9"/>
      <c r="H23" s="110"/>
      <c r="I23" s="2" t="s">
        <v>16</v>
      </c>
      <c r="J23" s="100" t="s">
        <v>380</v>
      </c>
      <c r="K23" s="101"/>
      <c r="N23" s="110"/>
      <c r="O23" s="2" t="s">
        <v>16</v>
      </c>
      <c r="P23" s="100" t="s">
        <v>381</v>
      </c>
      <c r="Q23" s="101"/>
      <c r="T23" s="110"/>
      <c r="U23" s="2" t="s">
        <v>16</v>
      </c>
      <c r="V23" s="100" t="s">
        <v>39</v>
      </c>
      <c r="W23" s="101"/>
      <c r="Z23" s="110"/>
      <c r="AA23" s="2" t="s">
        <v>16</v>
      </c>
      <c r="AB23" s="100" t="s">
        <v>39</v>
      </c>
      <c r="AC23" s="101"/>
    </row>
    <row r="24" spans="2:35" ht="15.75" thickBot="1" x14ac:dyDescent="0.3">
      <c r="B24" s="111"/>
      <c r="C24" s="3" t="s">
        <v>17</v>
      </c>
      <c r="D24" s="102" t="s">
        <v>64</v>
      </c>
      <c r="E24" s="103"/>
      <c r="F24" s="9"/>
      <c r="H24" s="111"/>
      <c r="I24" s="3" t="s">
        <v>17</v>
      </c>
      <c r="J24" s="102" t="s">
        <v>382</v>
      </c>
      <c r="K24" s="103"/>
      <c r="N24" s="111"/>
      <c r="O24" s="3" t="s">
        <v>17</v>
      </c>
      <c r="P24" s="102" t="s">
        <v>383</v>
      </c>
      <c r="Q24" s="103"/>
      <c r="T24" s="111"/>
      <c r="U24" s="3" t="s">
        <v>17</v>
      </c>
      <c r="V24" s="102" t="s">
        <v>40</v>
      </c>
      <c r="W24" s="103"/>
      <c r="Z24" s="111"/>
      <c r="AA24" s="3" t="s">
        <v>17</v>
      </c>
      <c r="AB24" s="102" t="s">
        <v>40</v>
      </c>
      <c r="AC24" s="103"/>
    </row>
    <row r="25" spans="2:35" x14ac:dyDescent="0.25">
      <c r="B25" s="109" t="s">
        <v>30</v>
      </c>
      <c r="C25" s="6" t="s">
        <v>18</v>
      </c>
      <c r="D25" s="107"/>
      <c r="E25" s="108"/>
      <c r="F25" s="9"/>
      <c r="H25" s="109" t="s">
        <v>30</v>
      </c>
      <c r="I25" s="6" t="s">
        <v>18</v>
      </c>
      <c r="J25" s="107" t="s">
        <v>384</v>
      </c>
      <c r="K25" s="108"/>
      <c r="N25" s="109" t="s">
        <v>30</v>
      </c>
      <c r="O25" s="6" t="s">
        <v>18</v>
      </c>
      <c r="P25" s="107" t="s">
        <v>385</v>
      </c>
      <c r="Q25" s="108"/>
      <c r="T25" s="109" t="s">
        <v>30</v>
      </c>
      <c r="U25" s="6" t="s">
        <v>18</v>
      </c>
      <c r="V25" s="107" t="s">
        <v>41</v>
      </c>
      <c r="W25" s="108"/>
      <c r="Z25" s="109" t="s">
        <v>30</v>
      </c>
      <c r="AA25" s="6" t="s">
        <v>18</v>
      </c>
      <c r="AB25" s="107" t="s">
        <v>41</v>
      </c>
      <c r="AC25" s="108"/>
    </row>
    <row r="26" spans="2:35" x14ac:dyDescent="0.25">
      <c r="B26" s="110"/>
      <c r="C26" s="2" t="s">
        <v>15</v>
      </c>
      <c r="D26" s="100"/>
      <c r="E26" s="101"/>
      <c r="F26" s="9"/>
      <c r="H26" s="110"/>
      <c r="I26" s="2" t="s">
        <v>15</v>
      </c>
      <c r="J26" s="100"/>
      <c r="K26" s="101"/>
      <c r="N26" s="110"/>
      <c r="O26" s="2" t="s">
        <v>15</v>
      </c>
      <c r="P26" s="100" t="s">
        <v>386</v>
      </c>
      <c r="Q26" s="101"/>
      <c r="T26" s="110"/>
      <c r="U26" s="2" t="s">
        <v>15</v>
      </c>
      <c r="V26" s="100" t="s">
        <v>38</v>
      </c>
      <c r="W26" s="101"/>
      <c r="Z26" s="110"/>
      <c r="AA26" s="2" t="s">
        <v>15</v>
      </c>
      <c r="AB26" s="100" t="s">
        <v>38</v>
      </c>
      <c r="AC26" s="101"/>
    </row>
    <row r="27" spans="2:35" x14ac:dyDescent="0.25">
      <c r="B27" s="110"/>
      <c r="C27" s="2" t="s">
        <v>16</v>
      </c>
      <c r="D27" s="100"/>
      <c r="E27" s="101"/>
      <c r="F27" s="9"/>
      <c r="H27" s="110"/>
      <c r="I27" s="2" t="s">
        <v>16</v>
      </c>
      <c r="J27" s="100"/>
      <c r="K27" s="101"/>
      <c r="N27" s="110"/>
      <c r="O27" s="2" t="s">
        <v>16</v>
      </c>
      <c r="P27" s="100"/>
      <c r="Q27" s="101"/>
      <c r="T27" s="110"/>
      <c r="U27" s="2" t="s">
        <v>16</v>
      </c>
      <c r="V27" s="100" t="s">
        <v>39</v>
      </c>
      <c r="W27" s="101"/>
      <c r="Z27" s="110"/>
      <c r="AA27" s="2" t="s">
        <v>16</v>
      </c>
      <c r="AB27" s="100" t="s">
        <v>39</v>
      </c>
      <c r="AC27" s="101"/>
    </row>
    <row r="28" spans="2:35" x14ac:dyDescent="0.25">
      <c r="B28" s="110"/>
      <c r="C28" s="2" t="s">
        <v>19</v>
      </c>
      <c r="D28" s="100"/>
      <c r="E28" s="101"/>
      <c r="F28" s="9"/>
      <c r="H28" s="110"/>
      <c r="I28" s="2" t="s">
        <v>19</v>
      </c>
      <c r="J28" s="100"/>
      <c r="K28" s="101"/>
      <c r="N28" s="110"/>
      <c r="O28" s="2" t="s">
        <v>19</v>
      </c>
      <c r="P28" s="100"/>
      <c r="Q28" s="101"/>
      <c r="T28" s="110"/>
      <c r="U28" s="2" t="s">
        <v>19</v>
      </c>
      <c r="V28" s="100" t="s">
        <v>42</v>
      </c>
      <c r="W28" s="101"/>
      <c r="Z28" s="110"/>
      <c r="AA28" s="2" t="s">
        <v>19</v>
      </c>
      <c r="AB28" s="100" t="s">
        <v>42</v>
      </c>
      <c r="AC28" s="101"/>
    </row>
    <row r="29" spans="2:35" x14ac:dyDescent="0.25">
      <c r="B29" s="110"/>
      <c r="C29" s="2" t="s">
        <v>20</v>
      </c>
      <c r="D29" s="100"/>
      <c r="E29" s="101"/>
      <c r="F29" s="9"/>
      <c r="H29" s="110"/>
      <c r="I29" s="2" t="s">
        <v>20</v>
      </c>
      <c r="J29" s="100"/>
      <c r="K29" s="101"/>
      <c r="N29" s="110"/>
      <c r="O29" s="2" t="s">
        <v>20</v>
      </c>
      <c r="P29" s="100"/>
      <c r="Q29" s="101"/>
      <c r="T29" s="110"/>
      <c r="U29" s="2" t="s">
        <v>20</v>
      </c>
      <c r="V29" s="100" t="s">
        <v>8</v>
      </c>
      <c r="W29" s="101"/>
      <c r="Z29" s="110"/>
      <c r="AA29" s="2" t="s">
        <v>20</v>
      </c>
      <c r="AB29" s="100" t="s">
        <v>8</v>
      </c>
      <c r="AC29" s="101"/>
    </row>
    <row r="30" spans="2:35" ht="15.75" thickBot="1" x14ac:dyDescent="0.3">
      <c r="B30" s="111"/>
      <c r="C30" s="3" t="s">
        <v>21</v>
      </c>
      <c r="D30" s="102"/>
      <c r="E30" s="103"/>
      <c r="F30" s="9"/>
      <c r="H30" s="111"/>
      <c r="I30" s="3" t="s">
        <v>21</v>
      </c>
      <c r="J30" s="102"/>
      <c r="K30" s="103"/>
      <c r="N30" s="111"/>
      <c r="O30" s="3" t="s">
        <v>21</v>
      </c>
      <c r="P30" s="102"/>
      <c r="Q30" s="103"/>
      <c r="T30" s="111"/>
      <c r="U30" s="3" t="s">
        <v>21</v>
      </c>
      <c r="V30" s="102" t="s">
        <v>8</v>
      </c>
      <c r="W30" s="103"/>
      <c r="Z30" s="111"/>
      <c r="AA30" s="3" t="s">
        <v>21</v>
      </c>
      <c r="AB30" s="102" t="s">
        <v>8</v>
      </c>
      <c r="AC30" s="103"/>
    </row>
    <row r="31" spans="2:35" x14ac:dyDescent="0.25">
      <c r="B31" s="104" t="s">
        <v>32</v>
      </c>
      <c r="C31" s="6" t="s">
        <v>23</v>
      </c>
      <c r="D31" s="112" t="s">
        <v>345</v>
      </c>
      <c r="E31" s="113"/>
      <c r="F31" s="9"/>
      <c r="H31" s="104" t="s">
        <v>32</v>
      </c>
      <c r="I31" s="6" t="s">
        <v>23</v>
      </c>
      <c r="J31" s="112" t="s">
        <v>345</v>
      </c>
      <c r="K31" s="113"/>
      <c r="N31" s="104" t="s">
        <v>32</v>
      </c>
      <c r="O31" s="6" t="s">
        <v>23</v>
      </c>
      <c r="P31" s="112" t="s">
        <v>345</v>
      </c>
      <c r="Q31" s="113"/>
      <c r="T31" s="104" t="s">
        <v>32</v>
      </c>
      <c r="U31" s="6" t="s">
        <v>23</v>
      </c>
      <c r="V31" s="107" t="s">
        <v>22</v>
      </c>
      <c r="W31" s="108"/>
      <c r="Z31" s="104" t="s">
        <v>32</v>
      </c>
      <c r="AA31" s="6" t="s">
        <v>23</v>
      </c>
      <c r="AB31" s="107" t="s">
        <v>22</v>
      </c>
      <c r="AC31" s="108"/>
    </row>
    <row r="32" spans="2:35" x14ac:dyDescent="0.25">
      <c r="B32" s="105"/>
      <c r="C32" s="2" t="s">
        <v>24</v>
      </c>
      <c r="D32" s="112" t="s">
        <v>88</v>
      </c>
      <c r="E32" s="113"/>
      <c r="F32" s="9"/>
      <c r="H32" s="105"/>
      <c r="I32" s="2" t="s">
        <v>24</v>
      </c>
      <c r="J32" s="112" t="s">
        <v>88</v>
      </c>
      <c r="K32" s="113"/>
      <c r="N32" s="105"/>
      <c r="O32" s="2" t="s">
        <v>24</v>
      </c>
      <c r="P32" s="112" t="s">
        <v>88</v>
      </c>
      <c r="Q32" s="113"/>
      <c r="T32" s="105"/>
      <c r="U32" s="2" t="s">
        <v>24</v>
      </c>
      <c r="V32" s="112" t="s">
        <v>22</v>
      </c>
      <c r="W32" s="113"/>
      <c r="Z32" s="105"/>
      <c r="AA32" s="2" t="s">
        <v>24</v>
      </c>
      <c r="AB32" s="112" t="s">
        <v>22</v>
      </c>
      <c r="AC32" s="113"/>
    </row>
    <row r="33" spans="2:35" x14ac:dyDescent="0.25">
      <c r="B33" s="105"/>
      <c r="C33" s="2" t="s">
        <v>25</v>
      </c>
      <c r="D33" s="112" t="s">
        <v>88</v>
      </c>
      <c r="E33" s="113"/>
      <c r="F33" s="9"/>
      <c r="H33" s="105"/>
      <c r="I33" s="2" t="s">
        <v>25</v>
      </c>
      <c r="J33" s="112" t="s">
        <v>88</v>
      </c>
      <c r="K33" s="113"/>
      <c r="N33" s="105"/>
      <c r="O33" s="2" t="s">
        <v>25</v>
      </c>
      <c r="P33" s="112" t="s">
        <v>88</v>
      </c>
      <c r="Q33" s="113"/>
      <c r="T33" s="105"/>
      <c r="U33" s="2" t="s">
        <v>25</v>
      </c>
      <c r="V33" s="112" t="s">
        <v>22</v>
      </c>
      <c r="W33" s="113"/>
      <c r="Z33" s="105"/>
      <c r="AA33" s="2" t="s">
        <v>25</v>
      </c>
      <c r="AB33" s="112" t="s">
        <v>22</v>
      </c>
      <c r="AC33" s="113"/>
    </row>
    <row r="34" spans="2:35" ht="15.75" thickBot="1" x14ac:dyDescent="0.3">
      <c r="B34" s="105"/>
      <c r="C34" s="7" t="s">
        <v>26</v>
      </c>
      <c r="D34" s="112" t="s">
        <v>88</v>
      </c>
      <c r="E34" s="113"/>
      <c r="F34" s="9"/>
      <c r="H34" s="105"/>
      <c r="I34" s="7" t="s">
        <v>26</v>
      </c>
      <c r="J34" s="112" t="s">
        <v>88</v>
      </c>
      <c r="K34" s="113"/>
      <c r="N34" s="105"/>
      <c r="O34" s="7" t="s">
        <v>26</v>
      </c>
      <c r="P34" s="112" t="s">
        <v>88</v>
      </c>
      <c r="Q34" s="113"/>
      <c r="T34" s="105"/>
      <c r="U34" s="7" t="s">
        <v>26</v>
      </c>
      <c r="V34" s="114" t="s">
        <v>22</v>
      </c>
      <c r="W34" s="115"/>
      <c r="Z34" s="105"/>
      <c r="AA34" s="7" t="s">
        <v>26</v>
      </c>
      <c r="AB34" s="114" t="s">
        <v>22</v>
      </c>
      <c r="AC34" s="115"/>
    </row>
    <row r="35" spans="2:35" ht="15.75" thickBot="1" x14ac:dyDescent="0.3">
      <c r="B35" s="109" t="s">
        <v>31</v>
      </c>
      <c r="C35" s="116" t="s">
        <v>27</v>
      </c>
      <c r="D35" s="117"/>
      <c r="E35" s="117"/>
      <c r="F35" s="118"/>
      <c r="H35" s="109" t="s">
        <v>31</v>
      </c>
      <c r="I35" s="116" t="s">
        <v>27</v>
      </c>
      <c r="J35" s="117"/>
      <c r="K35" s="117"/>
      <c r="L35" s="118"/>
      <c r="N35" s="109" t="s">
        <v>31</v>
      </c>
      <c r="O35" s="116" t="s">
        <v>27</v>
      </c>
      <c r="P35" s="117"/>
      <c r="Q35" s="117"/>
      <c r="R35" s="118"/>
      <c r="T35" s="109" t="s">
        <v>31</v>
      </c>
      <c r="U35" s="116" t="s">
        <v>27</v>
      </c>
      <c r="V35" s="117"/>
      <c r="W35" s="117"/>
      <c r="X35" s="118"/>
      <c r="Y35" s="21"/>
      <c r="Z35" s="109" t="s">
        <v>31</v>
      </c>
      <c r="AA35" s="116" t="s">
        <v>27</v>
      </c>
      <c r="AB35" s="117"/>
      <c r="AC35" s="117"/>
      <c r="AD35" s="118"/>
      <c r="AE35" s="21"/>
    </row>
    <row r="36" spans="2:35" ht="15.75" thickBot="1" x14ac:dyDescent="0.3">
      <c r="B36" s="110"/>
      <c r="C36" s="119" t="s">
        <v>65</v>
      </c>
      <c r="D36" s="120"/>
      <c r="E36" s="120"/>
      <c r="F36" s="121"/>
      <c r="H36" s="110"/>
      <c r="I36" s="119" t="s">
        <v>387</v>
      </c>
      <c r="J36" s="120"/>
      <c r="K36" s="120"/>
      <c r="L36" s="121"/>
      <c r="N36" s="110"/>
      <c r="O36" s="119" t="s">
        <v>388</v>
      </c>
      <c r="P36" s="120"/>
      <c r="Q36" s="120"/>
      <c r="R36" s="121"/>
      <c r="T36" s="110"/>
      <c r="U36" s="119" t="s">
        <v>43</v>
      </c>
      <c r="V36" s="120"/>
      <c r="W36" s="120"/>
      <c r="X36" s="121"/>
      <c r="Y36" s="22"/>
      <c r="Z36" s="110"/>
      <c r="AA36" s="119" t="s">
        <v>43</v>
      </c>
      <c r="AB36" s="120"/>
      <c r="AC36" s="120"/>
      <c r="AD36" s="121"/>
      <c r="AE36" s="22"/>
    </row>
    <row r="37" spans="2:35" x14ac:dyDescent="0.25">
      <c r="B37" s="110"/>
      <c r="C37" s="122" t="s">
        <v>66</v>
      </c>
      <c r="D37" s="123"/>
      <c r="E37" s="123"/>
      <c r="F37" s="124"/>
      <c r="H37" s="110"/>
      <c r="I37" s="119" t="s">
        <v>389</v>
      </c>
      <c r="J37" s="120"/>
      <c r="K37" s="120"/>
      <c r="L37" s="121"/>
      <c r="N37" s="110"/>
      <c r="O37" s="122" t="s">
        <v>390</v>
      </c>
      <c r="P37" s="123"/>
      <c r="Q37" s="123"/>
      <c r="R37" s="124"/>
      <c r="T37" s="110"/>
      <c r="U37" s="122" t="s">
        <v>43</v>
      </c>
      <c r="V37" s="123"/>
      <c r="W37" s="123"/>
      <c r="X37" s="124"/>
      <c r="Y37" s="22"/>
      <c r="Z37" s="110"/>
      <c r="AA37" s="122" t="s">
        <v>43</v>
      </c>
      <c r="AB37" s="123"/>
      <c r="AC37" s="123"/>
      <c r="AD37" s="124"/>
      <c r="AE37" s="22"/>
    </row>
    <row r="38" spans="2:35" x14ac:dyDescent="0.25">
      <c r="B38" s="110"/>
      <c r="C38" s="122" t="s">
        <v>43</v>
      </c>
      <c r="D38" s="123"/>
      <c r="E38" s="123"/>
      <c r="F38" s="124"/>
      <c r="H38" s="110"/>
      <c r="I38" s="122" t="s">
        <v>43</v>
      </c>
      <c r="J38" s="123"/>
      <c r="K38" s="123"/>
      <c r="L38" s="124"/>
      <c r="N38" s="110"/>
      <c r="O38" s="122" t="s">
        <v>43</v>
      </c>
      <c r="P38" s="123"/>
      <c r="Q38" s="123"/>
      <c r="R38" s="124"/>
      <c r="T38" s="110"/>
      <c r="U38" s="122" t="s">
        <v>43</v>
      </c>
      <c r="V38" s="123"/>
      <c r="W38" s="123"/>
      <c r="X38" s="124"/>
      <c r="Y38" s="22"/>
      <c r="Z38" s="110"/>
      <c r="AA38" s="122" t="s">
        <v>43</v>
      </c>
      <c r="AB38" s="123"/>
      <c r="AC38" s="123"/>
      <c r="AD38" s="124"/>
      <c r="AE38" s="22"/>
    </row>
    <row r="39" spans="2:35" ht="15.75" thickBot="1" x14ac:dyDescent="0.3">
      <c r="B39" s="111"/>
      <c r="C39" s="125" t="s">
        <v>43</v>
      </c>
      <c r="D39" s="126"/>
      <c r="E39" s="126"/>
      <c r="F39" s="127"/>
      <c r="H39" s="111"/>
      <c r="I39" s="125" t="s">
        <v>43</v>
      </c>
      <c r="J39" s="126"/>
      <c r="K39" s="126"/>
      <c r="L39" s="127"/>
      <c r="N39" s="111"/>
      <c r="O39" s="125" t="s">
        <v>43</v>
      </c>
      <c r="P39" s="126"/>
      <c r="Q39" s="126"/>
      <c r="R39" s="127"/>
      <c r="T39" s="111"/>
      <c r="U39" s="125" t="s">
        <v>43</v>
      </c>
      <c r="V39" s="126"/>
      <c r="W39" s="126"/>
      <c r="X39" s="127"/>
      <c r="Y39" s="22"/>
      <c r="Z39" s="111"/>
      <c r="AA39" s="125" t="s">
        <v>43</v>
      </c>
      <c r="AB39" s="126"/>
      <c r="AC39" s="126"/>
      <c r="AD39" s="127"/>
      <c r="AE39" s="22"/>
    </row>
    <row r="40" spans="2:35" s="9" customFormat="1" ht="15.75" thickBot="1" x14ac:dyDescent="0.3">
      <c r="B40" s="10"/>
      <c r="D40" s="11"/>
      <c r="H40" s="10"/>
      <c r="J40" s="11"/>
      <c r="N40" s="10"/>
      <c r="P40" s="11"/>
      <c r="T40" s="10"/>
      <c r="V40" s="11"/>
      <c r="Z40" s="10"/>
      <c r="AB40" s="11"/>
      <c r="AF40" s="18"/>
      <c r="AI40" s="60"/>
    </row>
    <row r="41" spans="2:35" s="9" customFormat="1" x14ac:dyDescent="0.25">
      <c r="B41" s="10"/>
      <c r="C41" s="13" t="s">
        <v>44</v>
      </c>
      <c r="D41" s="130" t="s">
        <v>370</v>
      </c>
      <c r="E41" s="131"/>
      <c r="F41" s="132"/>
      <c r="H41" s="10"/>
      <c r="I41" s="13" t="s">
        <v>44</v>
      </c>
      <c r="J41" s="130" t="s">
        <v>370</v>
      </c>
      <c r="K41" s="131"/>
      <c r="L41" s="132"/>
      <c r="N41" s="10"/>
      <c r="O41" s="13" t="s">
        <v>44</v>
      </c>
      <c r="P41" s="130" t="s">
        <v>370</v>
      </c>
      <c r="Q41" s="131"/>
      <c r="R41" s="132"/>
      <c r="T41" s="10"/>
      <c r="U41" s="13" t="s">
        <v>44</v>
      </c>
      <c r="V41" s="130" t="s">
        <v>47</v>
      </c>
      <c r="W41" s="131"/>
      <c r="X41" s="132"/>
      <c r="Y41" s="23"/>
      <c r="Z41" s="10"/>
      <c r="AA41" s="13" t="s">
        <v>44</v>
      </c>
      <c r="AB41" s="130" t="s">
        <v>47</v>
      </c>
      <c r="AC41" s="131"/>
      <c r="AD41" s="132"/>
      <c r="AE41" s="23"/>
      <c r="AF41" s="18"/>
      <c r="AI41" s="60"/>
    </row>
    <row r="42" spans="2:35" s="9" customFormat="1" ht="15.75" thickBot="1" x14ac:dyDescent="0.3">
      <c r="B42" s="10"/>
      <c r="C42" s="14" t="s">
        <v>45</v>
      </c>
      <c r="D42" s="128" t="s">
        <v>391</v>
      </c>
      <c r="E42" s="128"/>
      <c r="F42" s="129"/>
      <c r="H42" s="10"/>
      <c r="I42" s="14" t="s">
        <v>45</v>
      </c>
      <c r="J42" s="128" t="s">
        <v>391</v>
      </c>
      <c r="K42" s="128"/>
      <c r="L42" s="129"/>
      <c r="N42" s="10"/>
      <c r="O42" s="14" t="s">
        <v>45</v>
      </c>
      <c r="P42" s="128" t="s">
        <v>391</v>
      </c>
      <c r="Q42" s="128"/>
      <c r="R42" s="129"/>
      <c r="T42" s="10"/>
      <c r="U42" s="14" t="s">
        <v>45</v>
      </c>
      <c r="V42" s="128" t="s">
        <v>46</v>
      </c>
      <c r="W42" s="128"/>
      <c r="X42" s="129"/>
      <c r="Y42" s="23"/>
      <c r="Z42" s="10"/>
      <c r="AA42" s="14" t="s">
        <v>45</v>
      </c>
      <c r="AB42" s="128" t="s">
        <v>46</v>
      </c>
      <c r="AC42" s="128"/>
      <c r="AD42" s="129"/>
      <c r="AE42" s="23"/>
      <c r="AF42" s="18"/>
      <c r="AI42" s="60"/>
    </row>
    <row r="43" spans="2:35" s="9" customFormat="1" x14ac:dyDescent="0.25">
      <c r="B43" s="10"/>
      <c r="D43" s="11"/>
      <c r="AF43" s="18"/>
      <c r="AI43" s="60"/>
    </row>
    <row r="44" spans="2:35" s="9" customFormat="1" x14ac:dyDescent="0.25">
      <c r="B44" s="10"/>
      <c r="D44" s="11"/>
      <c r="AF44" s="18"/>
      <c r="AI44" s="60"/>
    </row>
    <row r="45" spans="2:35" s="9" customFormat="1" x14ac:dyDescent="0.25">
      <c r="B45" s="10"/>
      <c r="D45" s="11"/>
      <c r="AF45" s="18"/>
      <c r="AI45" s="60"/>
    </row>
    <row r="46" spans="2:35" s="9" customFormat="1" x14ac:dyDescent="0.25">
      <c r="B46" s="10"/>
      <c r="D46" s="11"/>
      <c r="AF46" s="18"/>
      <c r="AI46" s="60"/>
    </row>
    <row r="47" spans="2:35" s="9" customFormat="1" x14ac:dyDescent="0.25">
      <c r="B47" s="10"/>
      <c r="D47" s="11"/>
      <c r="AF47" s="18"/>
      <c r="AI47" s="60"/>
    </row>
    <row r="48" spans="2:35" s="9" customFormat="1" x14ac:dyDescent="0.25">
      <c r="B48" s="10"/>
      <c r="D48" s="11"/>
      <c r="AF48" s="18"/>
      <c r="AI48" s="60"/>
    </row>
    <row r="49" spans="2:35" s="9" customFormat="1" x14ac:dyDescent="0.25">
      <c r="B49" s="10"/>
      <c r="D49" s="11"/>
      <c r="AF49" s="18"/>
      <c r="AI49" s="60"/>
    </row>
    <row r="50" spans="2:35" s="9" customFormat="1" x14ac:dyDescent="0.25">
      <c r="B50" s="10"/>
      <c r="D50" s="11"/>
      <c r="AF50" s="18"/>
      <c r="AI50" s="60"/>
    </row>
    <row r="51" spans="2:35" s="9" customFormat="1" x14ac:dyDescent="0.25">
      <c r="B51" s="10"/>
      <c r="D51" s="11"/>
      <c r="AF51" s="18"/>
      <c r="AI51" s="60"/>
    </row>
    <row r="52" spans="2:35" s="9" customFormat="1" x14ac:dyDescent="0.25">
      <c r="B52" s="10"/>
      <c r="D52" s="11"/>
      <c r="AF52" s="18"/>
      <c r="AI52" s="60"/>
    </row>
    <row r="53" spans="2:35" s="9" customFormat="1" x14ac:dyDescent="0.25">
      <c r="B53" s="10"/>
      <c r="D53" s="11"/>
      <c r="AF53" s="18"/>
      <c r="AI53" s="60"/>
    </row>
    <row r="54" spans="2:35" s="9" customFormat="1" x14ac:dyDescent="0.25">
      <c r="B54" s="10"/>
      <c r="D54" s="11"/>
      <c r="AF54" s="18"/>
      <c r="AI54" s="60"/>
    </row>
    <row r="55" spans="2:35" s="9" customFormat="1" x14ac:dyDescent="0.25">
      <c r="B55" s="10"/>
      <c r="D55" s="11"/>
      <c r="AF55" s="18"/>
      <c r="AI55" s="60"/>
    </row>
    <row r="56" spans="2:35" s="9" customFormat="1" x14ac:dyDescent="0.25">
      <c r="B56" s="10"/>
      <c r="D56" s="11"/>
      <c r="AF56" s="18"/>
      <c r="AI56" s="60"/>
    </row>
    <row r="57" spans="2:35" s="9" customFormat="1" x14ac:dyDescent="0.25">
      <c r="B57" s="10"/>
      <c r="D57" s="11"/>
      <c r="AF57" s="18"/>
      <c r="AI57" s="60"/>
    </row>
    <row r="58" spans="2:35" s="9" customFormat="1" x14ac:dyDescent="0.25">
      <c r="B58" s="10"/>
      <c r="D58" s="11"/>
      <c r="AF58" s="18"/>
      <c r="AI58" s="60"/>
    </row>
    <row r="59" spans="2:35" s="9" customFormat="1" x14ac:dyDescent="0.25">
      <c r="B59" s="10"/>
      <c r="D59" s="11"/>
      <c r="AF59" s="18"/>
      <c r="AI59" s="60"/>
    </row>
    <row r="60" spans="2:35" s="9" customFormat="1" x14ac:dyDescent="0.25">
      <c r="B60" s="10"/>
      <c r="D60" s="11"/>
      <c r="AF60" s="18"/>
      <c r="AI60" s="60"/>
    </row>
    <row r="61" spans="2:35" s="9" customFormat="1" x14ac:dyDescent="0.25">
      <c r="B61" s="10"/>
      <c r="D61" s="11"/>
      <c r="AF61" s="18"/>
      <c r="AI61" s="60"/>
    </row>
    <row r="62" spans="2:35" s="9" customFormat="1" x14ac:dyDescent="0.25">
      <c r="B62" s="10"/>
      <c r="D62" s="11"/>
      <c r="AF62" s="18"/>
      <c r="AI62" s="60"/>
    </row>
    <row r="63" spans="2:35" s="9" customFormat="1" x14ac:dyDescent="0.25">
      <c r="B63" s="10"/>
      <c r="D63" s="11"/>
      <c r="AF63" s="18"/>
      <c r="AI63" s="60"/>
    </row>
    <row r="64" spans="2:35" s="9" customFormat="1" x14ac:dyDescent="0.25">
      <c r="B64" s="10"/>
      <c r="D64" s="11"/>
      <c r="AF64" s="18"/>
      <c r="AI64" s="60"/>
    </row>
    <row r="65" spans="2:35" s="9" customFormat="1" x14ac:dyDescent="0.25">
      <c r="B65" s="10"/>
      <c r="D65" s="11"/>
      <c r="AF65" s="18"/>
      <c r="AI65" s="60"/>
    </row>
    <row r="66" spans="2:35" s="9" customFormat="1" x14ac:dyDescent="0.25">
      <c r="B66" s="10"/>
      <c r="D66" s="11"/>
      <c r="AF66" s="18"/>
      <c r="AI66" s="60"/>
    </row>
    <row r="67" spans="2:35" s="9" customFormat="1" x14ac:dyDescent="0.25">
      <c r="B67" s="10"/>
      <c r="D67" s="11"/>
      <c r="AF67" s="18"/>
      <c r="AI67" s="60"/>
    </row>
    <row r="68" spans="2:35" s="9" customFormat="1" x14ac:dyDescent="0.25">
      <c r="B68" s="10"/>
      <c r="D68" s="11"/>
      <c r="AF68" s="18"/>
      <c r="AI68" s="60"/>
    </row>
    <row r="69" spans="2:35" s="9" customFormat="1" x14ac:dyDescent="0.25">
      <c r="B69" s="10"/>
      <c r="D69" s="11"/>
      <c r="AF69" s="18"/>
      <c r="AI69" s="60"/>
    </row>
    <row r="70" spans="2:35" s="9" customFormat="1" x14ac:dyDescent="0.25">
      <c r="B70" s="10"/>
      <c r="D70" s="11"/>
      <c r="AF70" s="18"/>
      <c r="AI70" s="60"/>
    </row>
    <row r="71" spans="2:35" s="9" customFormat="1" x14ac:dyDescent="0.25">
      <c r="B71" s="10"/>
      <c r="D71" s="11"/>
      <c r="AF71" s="18"/>
      <c r="AI71" s="60"/>
    </row>
    <row r="72" spans="2:35" s="9" customFormat="1" x14ac:dyDescent="0.25">
      <c r="B72" s="10"/>
      <c r="D72" s="11"/>
      <c r="AF72" s="18"/>
      <c r="AI72" s="60"/>
    </row>
    <row r="73" spans="2:35" s="9" customFormat="1" x14ac:dyDescent="0.25">
      <c r="B73" s="10"/>
      <c r="D73" s="11"/>
      <c r="AF73" s="18"/>
      <c r="AI73" s="60"/>
    </row>
    <row r="74" spans="2:35" s="9" customFormat="1" x14ac:dyDescent="0.25">
      <c r="B74" s="10"/>
      <c r="D74" s="11"/>
      <c r="AF74" s="18"/>
      <c r="AI74" s="60"/>
    </row>
    <row r="75" spans="2:35" s="9" customFormat="1" x14ac:dyDescent="0.25">
      <c r="B75" s="10"/>
      <c r="D75" s="11"/>
      <c r="AF75" s="18"/>
      <c r="AI75" s="60"/>
    </row>
    <row r="76" spans="2:35" s="9" customFormat="1" x14ac:dyDescent="0.25">
      <c r="B76" s="10"/>
      <c r="D76" s="11"/>
      <c r="AF76" s="18"/>
      <c r="AI76" s="60"/>
    </row>
    <row r="77" spans="2:35" s="9" customFormat="1" x14ac:dyDescent="0.25">
      <c r="B77" s="10"/>
      <c r="D77" s="11"/>
      <c r="AF77" s="18"/>
      <c r="AI77" s="60"/>
    </row>
    <row r="78" spans="2:35" s="9" customFormat="1" x14ac:dyDescent="0.25">
      <c r="B78" s="10"/>
      <c r="D78" s="11"/>
      <c r="AF78" s="18"/>
      <c r="AI78" s="60"/>
    </row>
    <row r="79" spans="2:35" s="9" customFormat="1" x14ac:dyDescent="0.25">
      <c r="B79" s="10"/>
      <c r="D79" s="11"/>
      <c r="AF79" s="18"/>
      <c r="AI79" s="60"/>
    </row>
    <row r="80" spans="2:35" s="9" customFormat="1" x14ac:dyDescent="0.25">
      <c r="B80" s="10"/>
      <c r="D80" s="11"/>
      <c r="AF80" s="18"/>
      <c r="AI80" s="60"/>
    </row>
    <row r="81" spans="2:35" s="9" customFormat="1" x14ac:dyDescent="0.25">
      <c r="B81" s="10"/>
      <c r="D81" s="11"/>
      <c r="AF81" s="18"/>
      <c r="AI81" s="60"/>
    </row>
    <row r="82" spans="2:35" s="9" customFormat="1" x14ac:dyDescent="0.25">
      <c r="B82" s="10"/>
      <c r="D82" s="11"/>
      <c r="AF82" s="18"/>
      <c r="AI82" s="60"/>
    </row>
    <row r="83" spans="2:35" s="9" customFormat="1" x14ac:dyDescent="0.25">
      <c r="B83" s="10"/>
      <c r="D83" s="11"/>
      <c r="AF83" s="18"/>
      <c r="AI83" s="60"/>
    </row>
    <row r="84" spans="2:35" s="9" customFormat="1" x14ac:dyDescent="0.25">
      <c r="B84" s="10"/>
      <c r="D84" s="11"/>
      <c r="AF84" s="18"/>
      <c r="AI84" s="60"/>
    </row>
    <row r="85" spans="2:35" s="9" customFormat="1" x14ac:dyDescent="0.25">
      <c r="B85" s="10"/>
      <c r="D85" s="11"/>
      <c r="AF85" s="18"/>
      <c r="AI85" s="60"/>
    </row>
    <row r="86" spans="2:35" s="9" customFormat="1" x14ac:dyDescent="0.25">
      <c r="B86" s="10"/>
      <c r="D86" s="11"/>
      <c r="AF86" s="18"/>
      <c r="AI86" s="60"/>
    </row>
    <row r="87" spans="2:35" s="9" customFormat="1" x14ac:dyDescent="0.25">
      <c r="B87" s="10"/>
      <c r="D87" s="11"/>
      <c r="AF87" s="18"/>
      <c r="AI87" s="60"/>
    </row>
    <row r="88" spans="2:35" s="9" customFormat="1" x14ac:dyDescent="0.25">
      <c r="B88" s="10"/>
      <c r="D88" s="11"/>
      <c r="AF88" s="18"/>
      <c r="AI88" s="60"/>
    </row>
    <row r="89" spans="2:35" s="9" customFormat="1" x14ac:dyDescent="0.25">
      <c r="B89" s="10"/>
      <c r="D89" s="11"/>
      <c r="AF89" s="18"/>
      <c r="AI89" s="60"/>
    </row>
    <row r="90" spans="2:35" s="9" customFormat="1" x14ac:dyDescent="0.25">
      <c r="B90" s="10"/>
      <c r="D90" s="11"/>
      <c r="AF90" s="18"/>
      <c r="AI90" s="60"/>
    </row>
    <row r="91" spans="2:35" s="9" customFormat="1" x14ac:dyDescent="0.25">
      <c r="B91" s="10"/>
      <c r="D91" s="11"/>
      <c r="AF91" s="18"/>
      <c r="AI91" s="60"/>
    </row>
    <row r="92" spans="2:35" s="9" customFormat="1" x14ac:dyDescent="0.25">
      <c r="B92" s="10"/>
      <c r="D92" s="11"/>
      <c r="AF92" s="18"/>
      <c r="AI92" s="60"/>
    </row>
    <row r="93" spans="2:35" s="9" customFormat="1" x14ac:dyDescent="0.25">
      <c r="B93" s="10"/>
      <c r="D93" s="11"/>
      <c r="AF93" s="18"/>
      <c r="AI93" s="60"/>
    </row>
    <row r="94" spans="2:35" s="9" customFormat="1" x14ac:dyDescent="0.25">
      <c r="B94" s="10"/>
      <c r="D94" s="11"/>
      <c r="AF94" s="18"/>
      <c r="AI94" s="60"/>
    </row>
    <row r="95" spans="2:35" s="9" customFormat="1" x14ac:dyDescent="0.25">
      <c r="B95" s="10"/>
      <c r="D95" s="11"/>
      <c r="AF95" s="18"/>
      <c r="AI95" s="60"/>
    </row>
    <row r="96" spans="2:35" s="9" customFormat="1" x14ac:dyDescent="0.25">
      <c r="B96" s="10"/>
      <c r="D96" s="11"/>
      <c r="AF96" s="18"/>
      <c r="AI96" s="60"/>
    </row>
    <row r="97" spans="2:35" s="9" customFormat="1" x14ac:dyDescent="0.25">
      <c r="B97" s="10"/>
      <c r="D97" s="11"/>
      <c r="AF97" s="18"/>
      <c r="AI97" s="60"/>
    </row>
    <row r="98" spans="2:35" s="9" customFormat="1" x14ac:dyDescent="0.25">
      <c r="B98" s="10"/>
      <c r="D98" s="11"/>
      <c r="AF98" s="18"/>
      <c r="AI98" s="60"/>
    </row>
    <row r="99" spans="2:35" s="9" customFormat="1" x14ac:dyDescent="0.25">
      <c r="B99" s="10"/>
      <c r="D99" s="11"/>
      <c r="AF99" s="18"/>
      <c r="AI99" s="60"/>
    </row>
    <row r="100" spans="2:35" s="9" customFormat="1" x14ac:dyDescent="0.25">
      <c r="B100" s="10"/>
      <c r="D100" s="11"/>
      <c r="AF100" s="18"/>
      <c r="AI100" s="60"/>
    </row>
    <row r="101" spans="2:35" s="9" customFormat="1" x14ac:dyDescent="0.25">
      <c r="B101" s="10"/>
      <c r="D101" s="11"/>
      <c r="AF101" s="18"/>
      <c r="AI101" s="60"/>
    </row>
    <row r="102" spans="2:35" s="9" customFormat="1" x14ac:dyDescent="0.25">
      <c r="B102" s="10"/>
      <c r="D102" s="11"/>
      <c r="AF102" s="18"/>
      <c r="AI102" s="60"/>
    </row>
    <row r="103" spans="2:35" s="9" customFormat="1" x14ac:dyDescent="0.25">
      <c r="B103" s="10"/>
      <c r="D103" s="11"/>
      <c r="AF103" s="18"/>
      <c r="AI103" s="60"/>
    </row>
    <row r="104" spans="2:35" s="9" customFormat="1" x14ac:dyDescent="0.25">
      <c r="B104" s="10"/>
      <c r="D104" s="11"/>
      <c r="AF104" s="18"/>
      <c r="AI104" s="60"/>
    </row>
    <row r="105" spans="2:35" s="9" customFormat="1" x14ac:dyDescent="0.25">
      <c r="B105" s="10"/>
      <c r="D105" s="11"/>
      <c r="AF105" s="18"/>
      <c r="AI105" s="60"/>
    </row>
    <row r="106" spans="2:35" s="9" customFormat="1" x14ac:dyDescent="0.25">
      <c r="B106" s="10"/>
      <c r="D106" s="11"/>
      <c r="AF106" s="18"/>
      <c r="AI106" s="60"/>
    </row>
    <row r="107" spans="2:35" s="9" customFormat="1" x14ac:dyDescent="0.25">
      <c r="B107" s="10"/>
      <c r="D107" s="11"/>
      <c r="AF107" s="18"/>
      <c r="AI107" s="60"/>
    </row>
    <row r="108" spans="2:35" s="9" customFormat="1" x14ac:dyDescent="0.25">
      <c r="B108" s="10"/>
      <c r="D108" s="11"/>
      <c r="AF108" s="18"/>
      <c r="AI108" s="60"/>
    </row>
    <row r="109" spans="2:35" s="9" customFormat="1" x14ac:dyDescent="0.25">
      <c r="B109" s="10"/>
      <c r="D109" s="11"/>
      <c r="AF109" s="18"/>
      <c r="AI109" s="60"/>
    </row>
    <row r="110" spans="2:35" s="9" customFormat="1" x14ac:dyDescent="0.25">
      <c r="B110" s="10"/>
      <c r="D110" s="11"/>
      <c r="AF110" s="18"/>
      <c r="AI110" s="60"/>
    </row>
    <row r="111" spans="2:35" s="9" customFormat="1" x14ac:dyDescent="0.25">
      <c r="B111" s="10"/>
      <c r="D111" s="11"/>
      <c r="AF111" s="18"/>
      <c r="AI111" s="60"/>
    </row>
    <row r="112" spans="2:35" s="9" customFormat="1" x14ac:dyDescent="0.25">
      <c r="B112" s="10"/>
      <c r="D112" s="11"/>
      <c r="AF112" s="18"/>
      <c r="AI112" s="60"/>
    </row>
    <row r="113" spans="2:35" s="9" customFormat="1" x14ac:dyDescent="0.25">
      <c r="B113" s="10"/>
      <c r="D113" s="11"/>
      <c r="AF113" s="18"/>
      <c r="AI113" s="60"/>
    </row>
    <row r="114" spans="2:35" s="9" customFormat="1" x14ac:dyDescent="0.25">
      <c r="B114" s="10"/>
      <c r="D114" s="11"/>
      <c r="AF114" s="18"/>
      <c r="AI114" s="60"/>
    </row>
    <row r="115" spans="2:35" s="9" customFormat="1" x14ac:dyDescent="0.25">
      <c r="B115" s="10"/>
      <c r="D115" s="11"/>
      <c r="AF115" s="18"/>
      <c r="AI115" s="60"/>
    </row>
    <row r="116" spans="2:35" s="9" customFormat="1" x14ac:dyDescent="0.25">
      <c r="B116" s="10"/>
      <c r="D116" s="11"/>
      <c r="AF116" s="18"/>
      <c r="AI116" s="60"/>
    </row>
    <row r="117" spans="2:35" s="9" customFormat="1" x14ac:dyDescent="0.25">
      <c r="B117" s="10"/>
      <c r="D117" s="11"/>
      <c r="AF117" s="18"/>
      <c r="AI117" s="60"/>
    </row>
    <row r="118" spans="2:35" s="9" customFormat="1" x14ac:dyDescent="0.25">
      <c r="B118" s="10"/>
      <c r="D118" s="11"/>
      <c r="AF118" s="18"/>
      <c r="AI118" s="60"/>
    </row>
    <row r="119" spans="2:35" s="9" customFormat="1" x14ac:dyDescent="0.25">
      <c r="B119" s="10"/>
      <c r="D119" s="11"/>
      <c r="AF119" s="18"/>
      <c r="AI119" s="60"/>
    </row>
    <row r="120" spans="2:35" s="9" customFormat="1" x14ac:dyDescent="0.25">
      <c r="B120" s="10"/>
      <c r="D120" s="11"/>
      <c r="AF120" s="18"/>
      <c r="AI120" s="60"/>
    </row>
    <row r="121" spans="2:35" s="9" customFormat="1" x14ac:dyDescent="0.25">
      <c r="B121" s="10"/>
      <c r="D121" s="11"/>
      <c r="AF121" s="18"/>
      <c r="AI121" s="60"/>
    </row>
    <row r="122" spans="2:35" s="9" customFormat="1" x14ac:dyDescent="0.25">
      <c r="B122" s="10"/>
      <c r="D122" s="11"/>
      <c r="AF122" s="18"/>
      <c r="AI122" s="60"/>
    </row>
    <row r="123" spans="2:35" s="9" customFormat="1" x14ac:dyDescent="0.25">
      <c r="B123" s="10"/>
      <c r="D123" s="11"/>
      <c r="AF123" s="18"/>
      <c r="AI123" s="60"/>
    </row>
    <row r="124" spans="2:35" s="9" customFormat="1" x14ac:dyDescent="0.25">
      <c r="B124" s="10"/>
      <c r="D124" s="11"/>
      <c r="AF124" s="18"/>
      <c r="AI124" s="60"/>
    </row>
    <row r="125" spans="2:35" s="9" customFormat="1" x14ac:dyDescent="0.25">
      <c r="B125" s="10"/>
      <c r="D125" s="11"/>
      <c r="AF125" s="18"/>
      <c r="AI125" s="60"/>
    </row>
    <row r="126" spans="2:35" s="9" customFormat="1" x14ac:dyDescent="0.25">
      <c r="B126" s="10"/>
      <c r="D126" s="11"/>
      <c r="AF126" s="18"/>
      <c r="AI126" s="60"/>
    </row>
    <row r="127" spans="2:35" s="9" customFormat="1" x14ac:dyDescent="0.25">
      <c r="B127" s="10"/>
      <c r="D127" s="11"/>
      <c r="AF127" s="18"/>
      <c r="AI127" s="60"/>
    </row>
    <row r="128" spans="2:35" s="9" customFormat="1" x14ac:dyDescent="0.25">
      <c r="B128" s="10"/>
      <c r="D128" s="11"/>
      <c r="AF128" s="18"/>
      <c r="AI128" s="60"/>
    </row>
    <row r="129" spans="2:35" s="9" customFormat="1" x14ac:dyDescent="0.25">
      <c r="B129" s="10"/>
      <c r="D129" s="11"/>
      <c r="AF129" s="18"/>
      <c r="AI129" s="60"/>
    </row>
    <row r="130" spans="2:35" s="9" customFormat="1" x14ac:dyDescent="0.25">
      <c r="B130" s="10"/>
      <c r="D130" s="11"/>
      <c r="AF130" s="18"/>
      <c r="AI130" s="60"/>
    </row>
    <row r="131" spans="2:35" s="9" customFormat="1" x14ac:dyDescent="0.25">
      <c r="B131" s="10"/>
      <c r="D131" s="11"/>
      <c r="AF131" s="18"/>
      <c r="AI131" s="60"/>
    </row>
    <row r="132" spans="2:35" s="9" customFormat="1" x14ac:dyDescent="0.25">
      <c r="B132" s="10"/>
      <c r="D132" s="11"/>
      <c r="AF132" s="18"/>
      <c r="AI132" s="60"/>
    </row>
    <row r="133" spans="2:35" s="9" customFormat="1" x14ac:dyDescent="0.25">
      <c r="B133" s="10"/>
      <c r="D133" s="11"/>
      <c r="AF133" s="18"/>
      <c r="AI133" s="60"/>
    </row>
    <row r="134" spans="2:35" s="9" customFormat="1" x14ac:dyDescent="0.25">
      <c r="B134" s="10"/>
      <c r="D134" s="11"/>
      <c r="AF134" s="18"/>
      <c r="AI134" s="60"/>
    </row>
    <row r="135" spans="2:35" s="9" customFormat="1" x14ac:dyDescent="0.25">
      <c r="B135" s="10"/>
      <c r="D135" s="11"/>
      <c r="AF135" s="18"/>
      <c r="AI135" s="60"/>
    </row>
    <row r="136" spans="2:35" s="9" customFormat="1" x14ac:dyDescent="0.25">
      <c r="B136" s="10"/>
      <c r="D136" s="11"/>
      <c r="AF136" s="18"/>
      <c r="AI136" s="60"/>
    </row>
    <row r="137" spans="2:35" s="9" customFormat="1" x14ac:dyDescent="0.25">
      <c r="B137" s="10"/>
      <c r="D137" s="11"/>
      <c r="AF137" s="18"/>
      <c r="AI137" s="60"/>
    </row>
    <row r="138" spans="2:35" s="9" customFormat="1" x14ac:dyDescent="0.25">
      <c r="B138" s="10"/>
      <c r="D138" s="11"/>
      <c r="AF138" s="18"/>
      <c r="AI138" s="60"/>
    </row>
    <row r="139" spans="2:35" s="9" customFormat="1" x14ac:dyDescent="0.25">
      <c r="B139" s="10"/>
      <c r="D139" s="11"/>
      <c r="AF139" s="18"/>
      <c r="AI139" s="60"/>
    </row>
    <row r="140" spans="2:35" s="9" customFormat="1" x14ac:dyDescent="0.25">
      <c r="B140" s="10"/>
      <c r="D140" s="11"/>
      <c r="AF140" s="18"/>
      <c r="AI140" s="60"/>
    </row>
    <row r="141" spans="2:35" s="9" customFormat="1" x14ac:dyDescent="0.25">
      <c r="B141" s="10"/>
      <c r="D141" s="11"/>
      <c r="AF141" s="18"/>
      <c r="AI141" s="60"/>
    </row>
    <row r="142" spans="2:35" s="9" customFormat="1" x14ac:dyDescent="0.25">
      <c r="B142" s="10"/>
      <c r="D142" s="11"/>
      <c r="AF142" s="18"/>
      <c r="AI142" s="60"/>
    </row>
    <row r="143" spans="2:35" s="9" customFormat="1" x14ac:dyDescent="0.25">
      <c r="B143" s="10"/>
      <c r="D143" s="11"/>
      <c r="AF143" s="18"/>
      <c r="AI143" s="60"/>
    </row>
    <row r="144" spans="2:35" s="9" customFormat="1" x14ac:dyDescent="0.25">
      <c r="B144" s="10"/>
      <c r="D144" s="11"/>
      <c r="AF144" s="18"/>
      <c r="AI144" s="60"/>
    </row>
    <row r="145" spans="2:35" s="9" customFormat="1" x14ac:dyDescent="0.25">
      <c r="B145" s="10"/>
      <c r="D145" s="11"/>
      <c r="AF145" s="18"/>
      <c r="AI145" s="60"/>
    </row>
    <row r="146" spans="2:35" s="9" customFormat="1" x14ac:dyDescent="0.25">
      <c r="B146" s="10"/>
      <c r="D146" s="11"/>
      <c r="AF146" s="18"/>
      <c r="AI146" s="60"/>
    </row>
    <row r="147" spans="2:35" s="9" customFormat="1" x14ac:dyDescent="0.25">
      <c r="B147" s="10"/>
      <c r="D147" s="11"/>
      <c r="AF147" s="18"/>
      <c r="AI147" s="60"/>
    </row>
    <row r="148" spans="2:35" s="9" customFormat="1" x14ac:dyDescent="0.25">
      <c r="B148" s="10"/>
      <c r="D148" s="11"/>
      <c r="AF148" s="18"/>
      <c r="AI148" s="60"/>
    </row>
    <row r="149" spans="2:35" s="9" customFormat="1" x14ac:dyDescent="0.25">
      <c r="B149" s="10"/>
      <c r="D149" s="11"/>
      <c r="AF149" s="18"/>
      <c r="AI149" s="60"/>
    </row>
    <row r="150" spans="2:35" s="9" customFormat="1" x14ac:dyDescent="0.25">
      <c r="B150" s="10"/>
      <c r="D150" s="11"/>
      <c r="AF150" s="18"/>
      <c r="AI150" s="60"/>
    </row>
    <row r="151" spans="2:35" s="9" customFormat="1" x14ac:dyDescent="0.25">
      <c r="B151" s="10"/>
      <c r="D151" s="11"/>
      <c r="AF151" s="18"/>
      <c r="AI151" s="60"/>
    </row>
    <row r="152" spans="2:35" s="9" customFormat="1" x14ac:dyDescent="0.25">
      <c r="B152" s="10"/>
      <c r="D152" s="11"/>
      <c r="AF152" s="18"/>
      <c r="AI152" s="60"/>
    </row>
  </sheetData>
  <mergeCells count="176">
    <mergeCell ref="D42:F42"/>
    <mergeCell ref="J42:L42"/>
    <mergeCell ref="P42:R42"/>
    <mergeCell ref="V42:X42"/>
    <mergeCell ref="AB42:AD42"/>
    <mergeCell ref="O39:R39"/>
    <mergeCell ref="U39:X39"/>
    <mergeCell ref="AA39:AD39"/>
    <mergeCell ref="D41:F41"/>
    <mergeCell ref="J41:L41"/>
    <mergeCell ref="P41:R41"/>
    <mergeCell ref="V41:X41"/>
    <mergeCell ref="AB41:AD41"/>
    <mergeCell ref="U37:X37"/>
    <mergeCell ref="AA37:AD37"/>
    <mergeCell ref="C38:F38"/>
    <mergeCell ref="I38:L38"/>
    <mergeCell ref="O38:R38"/>
    <mergeCell ref="U38:X38"/>
    <mergeCell ref="AA38:AD38"/>
    <mergeCell ref="T35:T39"/>
    <mergeCell ref="U35:X35"/>
    <mergeCell ref="Z35:Z39"/>
    <mergeCell ref="AA35:AD35"/>
    <mergeCell ref="C36:F36"/>
    <mergeCell ref="I36:L36"/>
    <mergeCell ref="O36:R36"/>
    <mergeCell ref="U36:X36"/>
    <mergeCell ref="AA36:AD36"/>
    <mergeCell ref="C37:F37"/>
    <mergeCell ref="B35:B39"/>
    <mergeCell ref="C35:F35"/>
    <mergeCell ref="H35:H39"/>
    <mergeCell ref="I35:L35"/>
    <mergeCell ref="N35:N39"/>
    <mergeCell ref="O35:R35"/>
    <mergeCell ref="I37:L37"/>
    <mergeCell ref="O37:R37"/>
    <mergeCell ref="C39:F39"/>
    <mergeCell ref="I39:L39"/>
    <mergeCell ref="V33:W33"/>
    <mergeCell ref="AB33:AC33"/>
    <mergeCell ref="D34:E34"/>
    <mergeCell ref="J34:K34"/>
    <mergeCell ref="P34:Q34"/>
    <mergeCell ref="V34:W34"/>
    <mergeCell ref="AB34:AC34"/>
    <mergeCell ref="T31:T34"/>
    <mergeCell ref="V31:W31"/>
    <mergeCell ref="Z31:Z34"/>
    <mergeCell ref="AB31:AC31"/>
    <mergeCell ref="D32:E32"/>
    <mergeCell ref="J32:K32"/>
    <mergeCell ref="P32:Q32"/>
    <mergeCell ref="V32:W32"/>
    <mergeCell ref="AB32:AC32"/>
    <mergeCell ref="D33:E33"/>
    <mergeCell ref="B31:B34"/>
    <mergeCell ref="D31:E31"/>
    <mergeCell ref="H31:H34"/>
    <mergeCell ref="J31:K31"/>
    <mergeCell ref="N31:N34"/>
    <mergeCell ref="P31:Q31"/>
    <mergeCell ref="J33:K33"/>
    <mergeCell ref="P33:Q33"/>
    <mergeCell ref="P29:Q29"/>
    <mergeCell ref="B25:B30"/>
    <mergeCell ref="D25:E25"/>
    <mergeCell ref="H25:H30"/>
    <mergeCell ref="J25:K25"/>
    <mergeCell ref="N25:N30"/>
    <mergeCell ref="P25:Q25"/>
    <mergeCell ref="J27:K27"/>
    <mergeCell ref="P27:Q27"/>
    <mergeCell ref="D29:E29"/>
    <mergeCell ref="J29:K29"/>
    <mergeCell ref="V29:W29"/>
    <mergeCell ref="AB29:AC29"/>
    <mergeCell ref="D30:E30"/>
    <mergeCell ref="J30:K30"/>
    <mergeCell ref="P30:Q30"/>
    <mergeCell ref="V30:W30"/>
    <mergeCell ref="AB30:AC30"/>
    <mergeCell ref="V27:W27"/>
    <mergeCell ref="AB27:AC27"/>
    <mergeCell ref="D28:E28"/>
    <mergeCell ref="J28:K28"/>
    <mergeCell ref="P28:Q28"/>
    <mergeCell ref="V28:W28"/>
    <mergeCell ref="AB28:AC28"/>
    <mergeCell ref="T25:T30"/>
    <mergeCell ref="V25:W25"/>
    <mergeCell ref="Z25:Z30"/>
    <mergeCell ref="AB25:AC25"/>
    <mergeCell ref="D26:E26"/>
    <mergeCell ref="J26:K26"/>
    <mergeCell ref="P26:Q26"/>
    <mergeCell ref="V26:W26"/>
    <mergeCell ref="AB26:AC26"/>
    <mergeCell ref="D27:E27"/>
    <mergeCell ref="AB23:AC23"/>
    <mergeCell ref="D24:E24"/>
    <mergeCell ref="J24:K24"/>
    <mergeCell ref="P24:Q24"/>
    <mergeCell ref="V24:W24"/>
    <mergeCell ref="AB24:AC24"/>
    <mergeCell ref="T21:T24"/>
    <mergeCell ref="V21:W21"/>
    <mergeCell ref="Z21:Z24"/>
    <mergeCell ref="AB21:AC21"/>
    <mergeCell ref="D22:E22"/>
    <mergeCell ref="J22:K22"/>
    <mergeCell ref="P22:Q22"/>
    <mergeCell ref="V22:W22"/>
    <mergeCell ref="AB22:AC22"/>
    <mergeCell ref="D23:E23"/>
    <mergeCell ref="B21:B24"/>
    <mergeCell ref="D21:E21"/>
    <mergeCell ref="H21:H24"/>
    <mergeCell ref="J21:K21"/>
    <mergeCell ref="N21:N24"/>
    <mergeCell ref="P21:Q21"/>
    <mergeCell ref="J23:K23"/>
    <mergeCell ref="P23:Q23"/>
    <mergeCell ref="V19:W19"/>
    <mergeCell ref="V23:W23"/>
    <mergeCell ref="B17:B20"/>
    <mergeCell ref="D20:E20"/>
    <mergeCell ref="J20:K20"/>
    <mergeCell ref="P20:Q20"/>
    <mergeCell ref="V20:W20"/>
    <mergeCell ref="AB20:AC20"/>
    <mergeCell ref="Z17:Z20"/>
    <mergeCell ref="AB17:AC17"/>
    <mergeCell ref="D18:E18"/>
    <mergeCell ref="J18:K18"/>
    <mergeCell ref="P18:Q18"/>
    <mergeCell ref="V18:W18"/>
    <mergeCell ref="AB18:AC18"/>
    <mergeCell ref="D19:E19"/>
    <mergeCell ref="J19:K19"/>
    <mergeCell ref="P19:Q19"/>
    <mergeCell ref="D17:E17"/>
    <mergeCell ref="H17:H20"/>
    <mergeCell ref="J17:K17"/>
    <mergeCell ref="N17:N20"/>
    <mergeCell ref="P17:Q17"/>
    <mergeCell ref="T17:T20"/>
    <mergeCell ref="V17:W17"/>
    <mergeCell ref="B4:B15"/>
    <mergeCell ref="E4:F10"/>
    <mergeCell ref="H4:H15"/>
    <mergeCell ref="K4:L10"/>
    <mergeCell ref="N4:N15"/>
    <mergeCell ref="Q4:R10"/>
    <mergeCell ref="K15:L15"/>
    <mergeCell ref="Q15:R15"/>
    <mergeCell ref="AB19:AC19"/>
    <mergeCell ref="AH2:AI2"/>
    <mergeCell ref="C3:F3"/>
    <mergeCell ref="I3:L3"/>
    <mergeCell ref="O3:R3"/>
    <mergeCell ref="U3:X3"/>
    <mergeCell ref="AA3:AD3"/>
    <mergeCell ref="W15:X15"/>
    <mergeCell ref="AC15:AD15"/>
    <mergeCell ref="Z4:Z15"/>
    <mergeCell ref="AC4:AD10"/>
    <mergeCell ref="AC11:AD11"/>
    <mergeCell ref="T4:T15"/>
    <mergeCell ref="W4:X10"/>
    <mergeCell ref="E11:F11"/>
    <mergeCell ref="K11:L11"/>
    <mergeCell ref="Q11:R11"/>
    <mergeCell ref="W11:X11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TOTALES FINALES</vt:lpstr>
      <vt:lpstr>CM FEREICO GUZMAN</vt:lpstr>
      <vt:lpstr>CM CARLOS GAMBOA</vt:lpstr>
      <vt:lpstr>CM RAFAEL AGUANA</vt:lpstr>
      <vt:lpstr>CM YOHANA CARDOZO</vt:lpstr>
      <vt:lpstr>CG JOSE ROZO</vt:lpstr>
      <vt:lpstr>CG CARLOS CONTRERAS</vt:lpstr>
      <vt:lpstr>CG JOSE MARTINEZ</vt:lpstr>
      <vt:lpstr>CG RONNY GALDONAS</vt:lpstr>
      <vt:lpstr>CG RAMON YEPEZ</vt:lpstr>
      <vt:lpstr>CG LUIS GONZALEZ</vt:lpstr>
      <vt:lpstr>CG RICHARD BRITO</vt:lpstr>
      <vt:lpstr>CG JUMMY BETANCOURT</vt:lpstr>
      <vt:lpstr>CG PEREZ LOPEZ</vt:lpstr>
      <vt:lpstr>CG CARLOS ORTEGA</vt:lpstr>
      <vt:lpstr>CJ GODOY</vt:lpstr>
      <vt:lpstr>CG NOVO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Sae15</dc:creator>
  <cp:lastModifiedBy>Carlos Diaz</cp:lastModifiedBy>
  <dcterms:created xsi:type="dcterms:W3CDTF">2026-07-03T08:58:42Z</dcterms:created>
  <dcterms:modified xsi:type="dcterms:W3CDTF">2026-07-04T04:32:43Z</dcterms:modified>
</cp:coreProperties>
</file>